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yorksj-my.sharepoint.com/personal/a_guest_yorksj_ac_uk/Documents/Modules/COM4005 - Prog 02/2021-22/"/>
    </mc:Choice>
  </mc:AlternateContent>
  <xr:revisionPtr revIDLastSave="7182" documentId="8_{6EC56C84-D679-4415-B3E7-40DEBF1B0671}" xr6:coauthVersionLast="47" xr6:coauthVersionMax="47" xr10:uidLastSave="{576CB8CD-9178-42C5-A7C4-C866BFD55156}"/>
  <bookViews>
    <workbookView xWindow="-110" yWindow="-110" windowWidth="38620" windowHeight="21220" tabRatio="1000" activeTab="4" xr2:uid="{00000000-000D-0000-FFFF-FFFF00000000}"/>
  </bookViews>
  <sheets>
    <sheet name="Full" sheetId="1" r:id="rId1"/>
    <sheet name="chart" sheetId="2" r:id="rId2"/>
    <sheet name="class_list" sheetId="3" r:id="rId3"/>
    <sheet name="template_student" sheetId="4" r:id="rId4"/>
    <sheet name="Student1" sheetId="336" r:id="rId5"/>
    <sheet name="Student2" sheetId="337" r:id="rId6"/>
    <sheet name="Student3" sheetId="338" r:id="rId7"/>
    <sheet name="Student4" sheetId="339" r:id="rId8"/>
    <sheet name="Student5" sheetId="340" r:id="rId9"/>
    <sheet name="Student6" sheetId="341" r:id="rId10"/>
  </sheets>
  <definedNames>
    <definedName name="_xlnm.Print_Area" localSheetId="3">template_student!$A$1:$J$55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88" i="341" l="1"/>
  <c r="G88" i="341"/>
  <c r="F88" i="341"/>
  <c r="E88" i="341"/>
  <c r="D88" i="341"/>
  <c r="C88" i="341"/>
  <c r="J80" i="341"/>
  <c r="G80" i="341" s="1"/>
  <c r="J79" i="341"/>
  <c r="G79" i="341" s="1"/>
  <c r="J78" i="341"/>
  <c r="G78" i="341" s="1"/>
  <c r="H78" i="341"/>
  <c r="B78" i="341"/>
  <c r="J77" i="341"/>
  <c r="G77" i="341" s="1"/>
  <c r="J76" i="341"/>
  <c r="G76" i="341" s="1"/>
  <c r="H76" i="341"/>
  <c r="J75" i="341"/>
  <c r="G75" i="341" s="1"/>
  <c r="H75" i="341"/>
  <c r="B75" i="341"/>
  <c r="J74" i="341"/>
  <c r="G74" i="341" s="1"/>
  <c r="J73" i="341"/>
  <c r="G73" i="341" s="1"/>
  <c r="J71" i="341"/>
  <c r="G71" i="341" s="1"/>
  <c r="H71" i="341"/>
  <c r="J70" i="341"/>
  <c r="G70" i="341" s="1"/>
  <c r="B70" i="341"/>
  <c r="J69" i="341"/>
  <c r="G69" i="341" s="1"/>
  <c r="H69" i="341"/>
  <c r="B69" i="341"/>
  <c r="J67" i="341"/>
  <c r="G67" i="341" s="1"/>
  <c r="J66" i="341"/>
  <c r="G66" i="341" s="1"/>
  <c r="B66" i="341"/>
  <c r="J65" i="341"/>
  <c r="G65" i="341" s="1"/>
  <c r="H65" i="341"/>
  <c r="B65" i="341"/>
  <c r="J64" i="341"/>
  <c r="G64" i="341" s="1"/>
  <c r="J63" i="341"/>
  <c r="G63" i="341" s="1"/>
  <c r="B63" i="341"/>
  <c r="J62" i="341"/>
  <c r="G62" i="341" s="1"/>
  <c r="H62" i="341"/>
  <c r="D53" i="341"/>
  <c r="E41" i="341"/>
  <c r="D41" i="341"/>
  <c r="J83" i="341" s="1"/>
  <c r="E35" i="341"/>
  <c r="D35" i="341"/>
  <c r="J82" i="341" s="1"/>
  <c r="A33" i="341"/>
  <c r="E23" i="341"/>
  <c r="D23" i="341"/>
  <c r="D5" i="341" s="1"/>
  <c r="I1" i="341" s="1"/>
  <c r="A23" i="341"/>
  <c r="E18" i="341"/>
  <c r="D18" i="341"/>
  <c r="D4" i="341" s="1"/>
  <c r="H1" i="341" s="1"/>
  <c r="A18" i="341"/>
  <c r="E10" i="341"/>
  <c r="D10" i="341"/>
  <c r="D3" i="341" s="1"/>
  <c r="A10" i="341"/>
  <c r="H88" i="340"/>
  <c r="G88" i="340"/>
  <c r="F88" i="340"/>
  <c r="E88" i="340"/>
  <c r="D88" i="340"/>
  <c r="C88" i="340"/>
  <c r="J80" i="340"/>
  <c r="G80" i="340" s="1"/>
  <c r="J79" i="340"/>
  <c r="G79" i="340" s="1"/>
  <c r="B79" i="340"/>
  <c r="J78" i="340"/>
  <c r="G78" i="340" s="1"/>
  <c r="H78" i="340"/>
  <c r="J77" i="340"/>
  <c r="G77" i="340" s="1"/>
  <c r="B77" i="340"/>
  <c r="J76" i="340"/>
  <c r="G76" i="340" s="1"/>
  <c r="H76" i="340"/>
  <c r="B76" i="340"/>
  <c r="J75" i="340"/>
  <c r="G75" i="340" s="1"/>
  <c r="J74" i="340"/>
  <c r="G74" i="340" s="1"/>
  <c r="J73" i="340"/>
  <c r="G73" i="340" s="1"/>
  <c r="H73" i="340"/>
  <c r="B73" i="340"/>
  <c r="J71" i="340"/>
  <c r="G71" i="340" s="1"/>
  <c r="B71" i="340"/>
  <c r="J70" i="340"/>
  <c r="G70" i="340" s="1"/>
  <c r="J69" i="340"/>
  <c r="G69" i="340" s="1"/>
  <c r="J67" i="340"/>
  <c r="G67" i="340" s="1"/>
  <c r="J66" i="340"/>
  <c r="G66" i="340" s="1"/>
  <c r="H66" i="340"/>
  <c r="B66" i="340"/>
  <c r="J65" i="340"/>
  <c r="G65" i="340" s="1"/>
  <c r="J64" i="340"/>
  <c r="G64" i="340" s="1"/>
  <c r="J63" i="340"/>
  <c r="G63" i="340" s="1"/>
  <c r="B63" i="340"/>
  <c r="J62" i="340"/>
  <c r="G62" i="340" s="1"/>
  <c r="H62" i="340"/>
  <c r="D53" i="340"/>
  <c r="E41" i="340"/>
  <c r="D41" i="340"/>
  <c r="J83" i="340" s="1"/>
  <c r="E35" i="340"/>
  <c r="D35" i="340"/>
  <c r="J82" i="340" s="1"/>
  <c r="A33" i="340"/>
  <c r="E23" i="340"/>
  <c r="D23" i="340"/>
  <c r="D5" i="340" s="1"/>
  <c r="I1" i="340" s="1"/>
  <c r="A23" i="340"/>
  <c r="E18" i="340"/>
  <c r="D18" i="340"/>
  <c r="D4" i="340" s="1"/>
  <c r="H1" i="340" s="1"/>
  <c r="A18" i="340"/>
  <c r="E10" i="340"/>
  <c r="D10" i="340"/>
  <c r="D3" i="340" s="1"/>
  <c r="A10" i="340"/>
  <c r="H88" i="339"/>
  <c r="G88" i="339"/>
  <c r="F88" i="339"/>
  <c r="E88" i="339"/>
  <c r="D88" i="339"/>
  <c r="C88" i="339"/>
  <c r="J80" i="339"/>
  <c r="G80" i="339" s="1"/>
  <c r="J79" i="339"/>
  <c r="G79" i="339" s="1"/>
  <c r="H79" i="339"/>
  <c r="B79" i="339"/>
  <c r="J78" i="339"/>
  <c r="G78" i="339" s="1"/>
  <c r="J77" i="339"/>
  <c r="G77" i="339" s="1"/>
  <c r="B77" i="339"/>
  <c r="J76" i="339"/>
  <c r="G76" i="339" s="1"/>
  <c r="J75" i="339"/>
  <c r="G75" i="339" s="1"/>
  <c r="J74" i="339"/>
  <c r="G74" i="339" s="1"/>
  <c r="B74" i="339"/>
  <c r="J73" i="339"/>
  <c r="G73" i="339" s="1"/>
  <c r="J71" i="339"/>
  <c r="G71" i="339" s="1"/>
  <c r="B71" i="339"/>
  <c r="J70" i="339"/>
  <c r="G70" i="339" s="1"/>
  <c r="H70" i="339"/>
  <c r="B70" i="339"/>
  <c r="J69" i="339"/>
  <c r="G69" i="339" s="1"/>
  <c r="J67" i="339"/>
  <c r="G67" i="339" s="1"/>
  <c r="B67" i="339"/>
  <c r="J66" i="339"/>
  <c r="G66" i="339" s="1"/>
  <c r="J65" i="339"/>
  <c r="G65" i="339" s="1"/>
  <c r="J64" i="339"/>
  <c r="G64" i="339" s="1"/>
  <c r="H64" i="339"/>
  <c r="B64" i="339"/>
  <c r="J63" i="339"/>
  <c r="G63" i="339" s="1"/>
  <c r="J62" i="339"/>
  <c r="G62" i="339" s="1"/>
  <c r="D53" i="339"/>
  <c r="E41" i="339"/>
  <c r="D41" i="339"/>
  <c r="J83" i="339" s="1"/>
  <c r="E35" i="339"/>
  <c r="D35" i="339"/>
  <c r="J82" i="339" s="1"/>
  <c r="A33" i="339"/>
  <c r="E23" i="339"/>
  <c r="D23" i="339"/>
  <c r="D5" i="339" s="1"/>
  <c r="I1" i="339" s="1"/>
  <c r="A23" i="339"/>
  <c r="E18" i="339"/>
  <c r="D18" i="339"/>
  <c r="D4" i="339" s="1"/>
  <c r="H1" i="339" s="1"/>
  <c r="A18" i="339"/>
  <c r="E10" i="339"/>
  <c r="D10" i="339"/>
  <c r="D3" i="339" s="1"/>
  <c r="A10" i="339"/>
  <c r="H88" i="338"/>
  <c r="G88" i="338"/>
  <c r="F88" i="338"/>
  <c r="E88" i="338"/>
  <c r="D88" i="338"/>
  <c r="C88" i="338"/>
  <c r="J80" i="338"/>
  <c r="G80" i="338" s="1"/>
  <c r="H80" i="338"/>
  <c r="B80" i="338"/>
  <c r="J79" i="338"/>
  <c r="G79" i="338" s="1"/>
  <c r="J78" i="338"/>
  <c r="G78" i="338" s="1"/>
  <c r="J77" i="338"/>
  <c r="G77" i="338" s="1"/>
  <c r="B77" i="338"/>
  <c r="J76" i="338"/>
  <c r="G76" i="338" s="1"/>
  <c r="J75" i="338"/>
  <c r="G75" i="338" s="1"/>
  <c r="J74" i="338"/>
  <c r="G74" i="338" s="1"/>
  <c r="H74" i="338"/>
  <c r="J73" i="338"/>
  <c r="G73" i="338" s="1"/>
  <c r="J71" i="338"/>
  <c r="G71" i="338" s="1"/>
  <c r="H71" i="338"/>
  <c r="B71" i="338"/>
  <c r="J70" i="338"/>
  <c r="G70" i="338" s="1"/>
  <c r="J69" i="338"/>
  <c r="G69" i="338" s="1"/>
  <c r="J67" i="338"/>
  <c r="G67" i="338" s="1"/>
  <c r="H67" i="338"/>
  <c r="B67" i="338"/>
  <c r="J66" i="338"/>
  <c r="G66" i="338" s="1"/>
  <c r="J65" i="338"/>
  <c r="G65" i="338" s="1"/>
  <c r="J64" i="338"/>
  <c r="G64" i="338" s="1"/>
  <c r="H64" i="338"/>
  <c r="J63" i="338"/>
  <c r="G63" i="338" s="1"/>
  <c r="J62" i="338"/>
  <c r="G62" i="338" s="1"/>
  <c r="D53" i="338"/>
  <c r="D34" i="338" s="1"/>
  <c r="D33" i="338" s="1"/>
  <c r="D6" i="338" s="1"/>
  <c r="J1" i="338" s="1"/>
  <c r="E41" i="338"/>
  <c r="D41" i="338"/>
  <c r="J83" i="338" s="1"/>
  <c r="E35" i="338"/>
  <c r="D35" i="338"/>
  <c r="J82" i="338" s="1"/>
  <c r="A33" i="338"/>
  <c r="E23" i="338"/>
  <c r="D23" i="338"/>
  <c r="D5" i="338" s="1"/>
  <c r="I1" i="338" s="1"/>
  <c r="A23" i="338"/>
  <c r="E18" i="338"/>
  <c r="D18" i="338"/>
  <c r="D4" i="338" s="1"/>
  <c r="H1" i="338" s="1"/>
  <c r="A18" i="338"/>
  <c r="E10" i="338"/>
  <c r="D10" i="338"/>
  <c r="D3" i="338" s="1"/>
  <c r="A10" i="338"/>
  <c r="H88" i="337"/>
  <c r="G88" i="337"/>
  <c r="F88" i="337"/>
  <c r="E88" i="337"/>
  <c r="D88" i="337"/>
  <c r="C88" i="337"/>
  <c r="J80" i="337"/>
  <c r="G80" i="337" s="1"/>
  <c r="J79" i="337"/>
  <c r="G79" i="337" s="1"/>
  <c r="J78" i="337"/>
  <c r="G78" i="337" s="1"/>
  <c r="J77" i="337"/>
  <c r="G77" i="337" s="1"/>
  <c r="J76" i="337"/>
  <c r="G76" i="337" s="1"/>
  <c r="J75" i="337"/>
  <c r="G75" i="337" s="1"/>
  <c r="H75" i="337"/>
  <c r="J74" i="337"/>
  <c r="G74" i="337" s="1"/>
  <c r="J73" i="337"/>
  <c r="G73" i="337" s="1"/>
  <c r="J71" i="337"/>
  <c r="G71" i="337" s="1"/>
  <c r="J70" i="337"/>
  <c r="G70" i="337" s="1"/>
  <c r="J69" i="337"/>
  <c r="G69" i="337" s="1"/>
  <c r="H69" i="337"/>
  <c r="B69" i="337"/>
  <c r="J67" i="337"/>
  <c r="G67" i="337" s="1"/>
  <c r="J66" i="337"/>
  <c r="G66" i="337" s="1"/>
  <c r="B66" i="337"/>
  <c r="J65" i="337"/>
  <c r="G65" i="337" s="1"/>
  <c r="H65" i="337"/>
  <c r="J64" i="337"/>
  <c r="G64" i="337" s="1"/>
  <c r="J63" i="337"/>
  <c r="G63" i="337" s="1"/>
  <c r="J62" i="337"/>
  <c r="G62" i="337" s="1"/>
  <c r="D53" i="337"/>
  <c r="D34" i="337" s="1"/>
  <c r="D33" i="337" s="1"/>
  <c r="D6" i="337" s="1"/>
  <c r="J1" i="337" s="1"/>
  <c r="E41" i="337"/>
  <c r="D41" i="337"/>
  <c r="J83" i="337" s="1"/>
  <c r="E35" i="337"/>
  <c r="D35" i="337"/>
  <c r="J82" i="337" s="1"/>
  <c r="A33" i="337"/>
  <c r="E23" i="337"/>
  <c r="D23" i="337"/>
  <c r="D5" i="337" s="1"/>
  <c r="I1" i="337" s="1"/>
  <c r="A23" i="337"/>
  <c r="E18" i="337"/>
  <c r="D18" i="337"/>
  <c r="D4" i="337" s="1"/>
  <c r="H1" i="337" s="1"/>
  <c r="A18" i="337"/>
  <c r="E10" i="337"/>
  <c r="D10" i="337"/>
  <c r="D3" i="337" s="1"/>
  <c r="A10" i="337"/>
  <c r="H88" i="336"/>
  <c r="G88" i="336"/>
  <c r="F88" i="336"/>
  <c r="E88" i="336"/>
  <c r="D88" i="336"/>
  <c r="C88" i="336"/>
  <c r="J80" i="336"/>
  <c r="G80" i="336" s="1"/>
  <c r="J79" i="336"/>
  <c r="G79" i="336" s="1"/>
  <c r="J78" i="336"/>
  <c r="G78" i="336" s="1"/>
  <c r="J77" i="336"/>
  <c r="G77" i="336" s="1"/>
  <c r="J76" i="336"/>
  <c r="G76" i="336" s="1"/>
  <c r="J75" i="336"/>
  <c r="G75" i="336" s="1"/>
  <c r="J74" i="336"/>
  <c r="G74" i="336" s="1"/>
  <c r="J73" i="336"/>
  <c r="G73" i="336" s="1"/>
  <c r="J71" i="336"/>
  <c r="G71" i="336" s="1"/>
  <c r="J70" i="336"/>
  <c r="G70" i="336" s="1"/>
  <c r="H70" i="336"/>
  <c r="J69" i="336"/>
  <c r="G69" i="336" s="1"/>
  <c r="J67" i="336"/>
  <c r="G67" i="336" s="1"/>
  <c r="J66" i="336"/>
  <c r="G66" i="336" s="1"/>
  <c r="J65" i="336"/>
  <c r="G65" i="336" s="1"/>
  <c r="J64" i="336"/>
  <c r="G64" i="336" s="1"/>
  <c r="J63" i="336"/>
  <c r="G63" i="336" s="1"/>
  <c r="J62" i="336"/>
  <c r="G62" i="336" s="1"/>
  <c r="D53" i="336"/>
  <c r="E41" i="336"/>
  <c r="D41" i="336"/>
  <c r="J83" i="336" s="1"/>
  <c r="E35" i="336"/>
  <c r="D35" i="336"/>
  <c r="J82" i="336" s="1"/>
  <c r="A33" i="336"/>
  <c r="E23" i="336"/>
  <c r="D23" i="336"/>
  <c r="D5" i="336" s="1"/>
  <c r="I1" i="336" s="1"/>
  <c r="A23" i="336"/>
  <c r="E18" i="336"/>
  <c r="D18" i="336"/>
  <c r="D4" i="336" s="1"/>
  <c r="H1" i="336" s="1"/>
  <c r="A18" i="336"/>
  <c r="E10" i="336"/>
  <c r="D10" i="336"/>
  <c r="D3" i="336" s="1"/>
  <c r="A10" i="336"/>
  <c r="E76" i="1"/>
  <c r="E75" i="1"/>
  <c r="D23" i="4"/>
  <c r="E64" i="1"/>
  <c r="E63" i="1"/>
  <c r="E62" i="1"/>
  <c r="E61" i="1"/>
  <c r="E60" i="1"/>
  <c r="E59" i="1"/>
  <c r="E58" i="1"/>
  <c r="E57" i="1"/>
  <c r="E56" i="1"/>
  <c r="E55" i="1"/>
  <c r="E51" i="1"/>
  <c r="E50" i="1"/>
  <c r="E48" i="1"/>
  <c r="E46" i="1"/>
  <c r="E45" i="1"/>
  <c r="E44" i="1"/>
  <c r="E25" i="1"/>
  <c r="E17" i="1"/>
  <c r="E11" i="1"/>
  <c r="B7" i="1"/>
  <c r="B4" i="1"/>
  <c r="D66" i="1"/>
  <c r="G64" i="1"/>
  <c r="B64" i="1"/>
  <c r="A64" i="1"/>
  <c r="G63" i="1"/>
  <c r="B63" i="1"/>
  <c r="A63" i="1"/>
  <c r="G62" i="1"/>
  <c r="B62" i="1"/>
  <c r="A62" i="1"/>
  <c r="G61" i="1"/>
  <c r="B61" i="1"/>
  <c r="A61" i="1"/>
  <c r="G60" i="1"/>
  <c r="B60" i="1"/>
  <c r="A60" i="1"/>
  <c r="G59" i="1"/>
  <c r="B59" i="1"/>
  <c r="A59" i="1"/>
  <c r="G58" i="1"/>
  <c r="B58" i="1"/>
  <c r="A58" i="1"/>
  <c r="G57" i="1"/>
  <c r="B57" i="1"/>
  <c r="A57" i="1"/>
  <c r="G56" i="1"/>
  <c r="B56" i="1"/>
  <c r="A56" i="1"/>
  <c r="G55" i="1"/>
  <c r="B55" i="1"/>
  <c r="A55" i="1"/>
  <c r="G54" i="1"/>
  <c r="E54" i="1" s="1"/>
  <c r="B54" i="1"/>
  <c r="A54" i="1"/>
  <c r="G53" i="1"/>
  <c r="E53" i="1" s="1"/>
  <c r="B53" i="1"/>
  <c r="A53" i="1"/>
  <c r="G52" i="1"/>
  <c r="E52" i="1" s="1"/>
  <c r="B52" i="1"/>
  <c r="A52" i="1"/>
  <c r="G51" i="1"/>
  <c r="B51" i="1"/>
  <c r="A51" i="1"/>
  <c r="G50" i="1"/>
  <c r="B50" i="1"/>
  <c r="A50" i="1"/>
  <c r="G49" i="1"/>
  <c r="E49" i="1" s="1"/>
  <c r="B49" i="1"/>
  <c r="A49" i="1"/>
  <c r="G48" i="1"/>
  <c r="B48" i="1"/>
  <c r="A48" i="1"/>
  <c r="G47" i="1"/>
  <c r="E47" i="1" s="1"/>
  <c r="B47" i="1"/>
  <c r="A47" i="1"/>
  <c r="G46" i="1"/>
  <c r="B46" i="1"/>
  <c r="A46" i="1"/>
  <c r="G45" i="1"/>
  <c r="B45" i="1"/>
  <c r="A45" i="1"/>
  <c r="G44" i="1"/>
  <c r="B44" i="1"/>
  <c r="A44" i="1"/>
  <c r="G43" i="1"/>
  <c r="E43" i="1" s="1"/>
  <c r="B43" i="1"/>
  <c r="A43" i="1"/>
  <c r="G42" i="1"/>
  <c r="E42" i="1" s="1"/>
  <c r="B42" i="1"/>
  <c r="A42" i="1"/>
  <c r="G41" i="1"/>
  <c r="E41" i="1" s="1"/>
  <c r="B41" i="1"/>
  <c r="A41" i="1"/>
  <c r="G40" i="1"/>
  <c r="E40" i="1" s="1"/>
  <c r="B40" i="1"/>
  <c r="A40" i="1"/>
  <c r="G39" i="1"/>
  <c r="E39" i="1" s="1"/>
  <c r="B39" i="1"/>
  <c r="A39" i="1"/>
  <c r="G38" i="1"/>
  <c r="E38" i="1" s="1"/>
  <c r="B38" i="1"/>
  <c r="A38" i="1"/>
  <c r="G37" i="1"/>
  <c r="E37" i="1" s="1"/>
  <c r="B37" i="1"/>
  <c r="A37" i="1"/>
  <c r="G36" i="1"/>
  <c r="E36" i="1" s="1"/>
  <c r="B36" i="1"/>
  <c r="A36" i="1"/>
  <c r="G35" i="1"/>
  <c r="E35" i="1" s="1"/>
  <c r="B35" i="1"/>
  <c r="A35" i="1"/>
  <c r="G34" i="1"/>
  <c r="E34" i="1" s="1"/>
  <c r="B34" i="1"/>
  <c r="A34" i="1"/>
  <c r="G33" i="1"/>
  <c r="E33" i="1" s="1"/>
  <c r="B33" i="1"/>
  <c r="A33" i="1"/>
  <c r="G32" i="1"/>
  <c r="E32" i="1" s="1"/>
  <c r="B32" i="1"/>
  <c r="A32" i="1"/>
  <c r="G31" i="1"/>
  <c r="E31" i="1" s="1"/>
  <c r="B31" i="1"/>
  <c r="A31" i="1"/>
  <c r="G30" i="1"/>
  <c r="E30" i="1" s="1"/>
  <c r="B30" i="1"/>
  <c r="A30" i="1"/>
  <c r="G29" i="1"/>
  <c r="E29" i="1" s="1"/>
  <c r="B29" i="1"/>
  <c r="A29" i="1"/>
  <c r="G28" i="1"/>
  <c r="E28" i="1" s="1"/>
  <c r="B28" i="1"/>
  <c r="A28" i="1"/>
  <c r="G27" i="1"/>
  <c r="E27" i="1" s="1"/>
  <c r="B27" i="1"/>
  <c r="A27" i="1"/>
  <c r="G26" i="1"/>
  <c r="E26" i="1" s="1"/>
  <c r="B26" i="1"/>
  <c r="A26" i="1"/>
  <c r="G25" i="1"/>
  <c r="B25" i="1"/>
  <c r="A25" i="1"/>
  <c r="G24" i="1"/>
  <c r="E24" i="1" s="1"/>
  <c r="B24" i="1"/>
  <c r="A24" i="1"/>
  <c r="G23" i="1"/>
  <c r="E23" i="1" s="1"/>
  <c r="B23" i="1"/>
  <c r="A23" i="1"/>
  <c r="G22" i="1"/>
  <c r="E22" i="1" s="1"/>
  <c r="B22" i="1"/>
  <c r="A22" i="1"/>
  <c r="G21" i="1"/>
  <c r="E21" i="1" s="1"/>
  <c r="B21" i="1"/>
  <c r="A21" i="1"/>
  <c r="G20" i="1"/>
  <c r="E20" i="1" s="1"/>
  <c r="B20" i="1"/>
  <c r="A20" i="1"/>
  <c r="G19" i="1"/>
  <c r="E19" i="1" s="1"/>
  <c r="B19" i="1"/>
  <c r="A19" i="1"/>
  <c r="G18" i="1"/>
  <c r="E18" i="1" s="1"/>
  <c r="B18" i="1"/>
  <c r="A18" i="1"/>
  <c r="G17" i="1"/>
  <c r="B17" i="1"/>
  <c r="A17" i="1"/>
  <c r="G16" i="1"/>
  <c r="E16" i="1" s="1"/>
  <c r="B16" i="1"/>
  <c r="A16" i="1"/>
  <c r="G15" i="1"/>
  <c r="E15" i="1" s="1"/>
  <c r="B15" i="1"/>
  <c r="A15" i="1"/>
  <c r="G14" i="1"/>
  <c r="E14" i="1" s="1"/>
  <c r="B14" i="1"/>
  <c r="A14" i="1"/>
  <c r="G13" i="1"/>
  <c r="E13" i="1" s="1"/>
  <c r="B13" i="1"/>
  <c r="A13" i="1"/>
  <c r="G12" i="1"/>
  <c r="E12" i="1" s="1"/>
  <c r="B12" i="1"/>
  <c r="A12" i="1"/>
  <c r="G11" i="1"/>
  <c r="B11" i="1"/>
  <c r="A11" i="1"/>
  <c r="G10" i="1"/>
  <c r="E10" i="1" s="1"/>
  <c r="B10" i="1"/>
  <c r="A10" i="1"/>
  <c r="G9" i="1"/>
  <c r="E9" i="1" s="1"/>
  <c r="B9" i="1"/>
  <c r="A9" i="1"/>
  <c r="G8" i="1"/>
  <c r="E8" i="1" s="1"/>
  <c r="B8" i="1"/>
  <c r="A8" i="1"/>
  <c r="G7" i="1"/>
  <c r="E7" i="1" s="1"/>
  <c r="A7" i="1"/>
  <c r="G6" i="1"/>
  <c r="E6" i="1" s="1"/>
  <c r="B6" i="1"/>
  <c r="A6" i="1"/>
  <c r="G5" i="1"/>
  <c r="E5" i="1" s="1"/>
  <c r="B5" i="1"/>
  <c r="A5" i="1"/>
  <c r="G4" i="1"/>
  <c r="E4" i="1" s="1"/>
  <c r="A4" i="1"/>
  <c r="C56" i="1"/>
  <c r="C54" i="1"/>
  <c r="C50" i="1"/>
  <c r="C46" i="1"/>
  <c r="C51" i="1"/>
  <c r="C45" i="1"/>
  <c r="C61" i="1"/>
  <c r="C53" i="1"/>
  <c r="C55" i="1"/>
  <c r="C58" i="1"/>
  <c r="C63" i="1"/>
  <c r="C52" i="1"/>
  <c r="C48" i="1"/>
  <c r="C64" i="1"/>
  <c r="C62" i="1"/>
  <c r="C59" i="1"/>
  <c r="C44" i="1"/>
  <c r="C60" i="1"/>
  <c r="C57" i="1"/>
  <c r="H66" i="337" l="1"/>
  <c r="B67" i="337"/>
  <c r="B79" i="341"/>
  <c r="H79" i="341"/>
  <c r="B76" i="341"/>
  <c r="H80" i="341"/>
  <c r="B80" i="341"/>
  <c r="B77" i="341"/>
  <c r="H77" i="341"/>
  <c r="B74" i="341"/>
  <c r="H74" i="341"/>
  <c r="B73" i="341"/>
  <c r="H73" i="341"/>
  <c r="D34" i="341"/>
  <c r="D33" i="341" s="1"/>
  <c r="D6" i="341" s="1"/>
  <c r="J1" i="341" s="1"/>
  <c r="B71" i="341"/>
  <c r="H70" i="341"/>
  <c r="B67" i="341"/>
  <c r="H67" i="341"/>
  <c r="H66" i="341"/>
  <c r="B64" i="341"/>
  <c r="H64" i="341"/>
  <c r="H63" i="341"/>
  <c r="B62" i="341"/>
  <c r="D34" i="340"/>
  <c r="D33" i="340" s="1"/>
  <c r="D6" i="340" s="1"/>
  <c r="J1" i="340" s="1"/>
  <c r="B80" i="340"/>
  <c r="H80" i="340"/>
  <c r="H79" i="340"/>
  <c r="B78" i="340"/>
  <c r="H77" i="340"/>
  <c r="B75" i="340"/>
  <c r="H75" i="340"/>
  <c r="B74" i="340"/>
  <c r="H74" i="340"/>
  <c r="B70" i="340"/>
  <c r="H70" i="340"/>
  <c r="H71" i="340"/>
  <c r="H69" i="340"/>
  <c r="B69" i="340"/>
  <c r="B67" i="340"/>
  <c r="H67" i="340"/>
  <c r="B65" i="340"/>
  <c r="H65" i="340"/>
  <c r="B64" i="340"/>
  <c r="H64" i="340"/>
  <c r="H63" i="340"/>
  <c r="B62" i="340"/>
  <c r="B80" i="339"/>
  <c r="H80" i="339"/>
  <c r="B78" i="339"/>
  <c r="H78" i="339"/>
  <c r="H77" i="339"/>
  <c r="H76" i="339"/>
  <c r="B76" i="339"/>
  <c r="B75" i="339"/>
  <c r="H75" i="339"/>
  <c r="H74" i="339"/>
  <c r="B73" i="339"/>
  <c r="H73" i="339"/>
  <c r="D34" i="339"/>
  <c r="D33" i="339" s="1"/>
  <c r="D6" i="339" s="1"/>
  <c r="J1" i="339" s="1"/>
  <c r="H71" i="339"/>
  <c r="B69" i="339"/>
  <c r="H69" i="339"/>
  <c r="H67" i="339"/>
  <c r="H66" i="339"/>
  <c r="B66" i="339"/>
  <c r="B65" i="339"/>
  <c r="H65" i="339"/>
  <c r="B63" i="339"/>
  <c r="H63" i="339"/>
  <c r="B62" i="339"/>
  <c r="H62" i="339"/>
  <c r="B79" i="338"/>
  <c r="H79" i="338"/>
  <c r="B78" i="338"/>
  <c r="H78" i="338"/>
  <c r="H77" i="338"/>
  <c r="B76" i="338"/>
  <c r="H76" i="338"/>
  <c r="B75" i="338"/>
  <c r="H75" i="338"/>
  <c r="B74" i="338"/>
  <c r="B73" i="338"/>
  <c r="H73" i="338"/>
  <c r="B70" i="338"/>
  <c r="H70" i="338"/>
  <c r="B69" i="338"/>
  <c r="H69" i="338"/>
  <c r="B66" i="338"/>
  <c r="H66" i="338"/>
  <c r="B65" i="338"/>
  <c r="H65" i="338"/>
  <c r="B64" i="338"/>
  <c r="B62" i="338"/>
  <c r="H62" i="338"/>
  <c r="B63" i="338"/>
  <c r="H63" i="338"/>
  <c r="B78" i="337"/>
  <c r="B80" i="337"/>
  <c r="H80" i="337"/>
  <c r="B79" i="337"/>
  <c r="H79" i="337"/>
  <c r="B77" i="337"/>
  <c r="H77" i="337"/>
  <c r="B76" i="337"/>
  <c r="H76" i="337"/>
  <c r="H78" i="337"/>
  <c r="B75" i="337"/>
  <c r="B74" i="337"/>
  <c r="H74" i="337"/>
  <c r="B73" i="337"/>
  <c r="H73" i="337"/>
  <c r="B71" i="337"/>
  <c r="H71" i="337"/>
  <c r="B70" i="337"/>
  <c r="H70" i="337"/>
  <c r="H67" i="337"/>
  <c r="B65" i="337"/>
  <c r="B63" i="337"/>
  <c r="B64" i="337"/>
  <c r="H64" i="337"/>
  <c r="H63" i="337"/>
  <c r="B62" i="337"/>
  <c r="H62" i="337"/>
  <c r="D34" i="336"/>
  <c r="D33" i="336" s="1"/>
  <c r="D6" i="336" s="1"/>
  <c r="J1" i="336" s="1"/>
  <c r="H80" i="336"/>
  <c r="H79" i="336"/>
  <c r="H78" i="336"/>
  <c r="H77" i="336"/>
  <c r="H76" i="336"/>
  <c r="H75" i="336"/>
  <c r="H74" i="336"/>
  <c r="H73" i="336"/>
  <c r="H71" i="336"/>
  <c r="H69" i="336"/>
  <c r="H67" i="336"/>
  <c r="H66" i="336"/>
  <c r="H65" i="336"/>
  <c r="H64" i="336"/>
  <c r="H63" i="336"/>
  <c r="H62" i="336"/>
  <c r="G1" i="341"/>
  <c r="G82" i="341"/>
  <c r="F82" i="341"/>
  <c r="E82" i="341"/>
  <c r="D82" i="341"/>
  <c r="C82" i="341"/>
  <c r="B82" i="341"/>
  <c r="H82" i="341"/>
  <c r="G83" i="341"/>
  <c r="F83" i="341"/>
  <c r="E83" i="341"/>
  <c r="D83" i="341"/>
  <c r="C83" i="341"/>
  <c r="B83" i="341"/>
  <c r="H83" i="341"/>
  <c r="J84" i="341"/>
  <c r="C62" i="341"/>
  <c r="C63" i="341"/>
  <c r="C64" i="341"/>
  <c r="C65" i="341"/>
  <c r="C66" i="341"/>
  <c r="C67" i="341"/>
  <c r="C69" i="341"/>
  <c r="C70" i="341"/>
  <c r="C71" i="341"/>
  <c r="C73" i="341"/>
  <c r="C74" i="341"/>
  <c r="C75" i="341"/>
  <c r="C76" i="341"/>
  <c r="C77" i="341"/>
  <c r="C78" i="341"/>
  <c r="C79" i="341"/>
  <c r="C80" i="341"/>
  <c r="D62" i="341"/>
  <c r="D63" i="341"/>
  <c r="D64" i="341"/>
  <c r="D65" i="341"/>
  <c r="D66" i="341"/>
  <c r="D67" i="341"/>
  <c r="D69" i="341"/>
  <c r="D70" i="341"/>
  <c r="D71" i="341"/>
  <c r="D73" i="341"/>
  <c r="D74" i="341"/>
  <c r="D75" i="341"/>
  <c r="D76" i="341"/>
  <c r="D77" i="341"/>
  <c r="D78" i="341"/>
  <c r="D79" i="341"/>
  <c r="D80" i="341"/>
  <c r="E62" i="341"/>
  <c r="E63" i="341"/>
  <c r="E64" i="341"/>
  <c r="E65" i="341"/>
  <c r="E66" i="341"/>
  <c r="E67" i="341"/>
  <c r="E69" i="341"/>
  <c r="E70" i="341"/>
  <c r="E71" i="341"/>
  <c r="E73" i="341"/>
  <c r="E74" i="341"/>
  <c r="E75" i="341"/>
  <c r="E76" i="341"/>
  <c r="E77" i="341"/>
  <c r="E78" i="341"/>
  <c r="E79" i="341"/>
  <c r="E80" i="341"/>
  <c r="F62" i="341"/>
  <c r="F63" i="341"/>
  <c r="F64" i="341"/>
  <c r="F65" i="341"/>
  <c r="F66" i="341"/>
  <c r="F67" i="341"/>
  <c r="F69" i="341"/>
  <c r="F70" i="341"/>
  <c r="F71" i="341"/>
  <c r="F73" i="341"/>
  <c r="F74" i="341"/>
  <c r="F75" i="341"/>
  <c r="F76" i="341"/>
  <c r="F77" i="341"/>
  <c r="F78" i="341"/>
  <c r="F79" i="341"/>
  <c r="F80" i="341"/>
  <c r="D7" i="340"/>
  <c r="D8" i="340" s="1"/>
  <c r="E1" i="340" s="1"/>
  <c r="G1" i="340"/>
  <c r="G82" i="340"/>
  <c r="F82" i="340"/>
  <c r="E82" i="340"/>
  <c r="D82" i="340"/>
  <c r="C82" i="340"/>
  <c r="B82" i="340"/>
  <c r="H82" i="340"/>
  <c r="G83" i="340"/>
  <c r="F83" i="340"/>
  <c r="E83" i="340"/>
  <c r="D83" i="340"/>
  <c r="C83" i="340"/>
  <c r="B83" i="340"/>
  <c r="H83" i="340"/>
  <c r="J84" i="340"/>
  <c r="C62" i="340"/>
  <c r="C63" i="340"/>
  <c r="C64" i="340"/>
  <c r="C65" i="340"/>
  <c r="C66" i="340"/>
  <c r="C67" i="340"/>
  <c r="C69" i="340"/>
  <c r="C70" i="340"/>
  <c r="C71" i="340"/>
  <c r="C73" i="340"/>
  <c r="C74" i="340"/>
  <c r="C75" i="340"/>
  <c r="C76" i="340"/>
  <c r="C77" i="340"/>
  <c r="C78" i="340"/>
  <c r="C79" i="340"/>
  <c r="C80" i="340"/>
  <c r="D62" i="340"/>
  <c r="D63" i="340"/>
  <c r="D64" i="340"/>
  <c r="D65" i="340"/>
  <c r="D66" i="340"/>
  <c r="D67" i="340"/>
  <c r="D69" i="340"/>
  <c r="D70" i="340"/>
  <c r="D71" i="340"/>
  <c r="D73" i="340"/>
  <c r="D74" i="340"/>
  <c r="D75" i="340"/>
  <c r="D76" i="340"/>
  <c r="D77" i="340"/>
  <c r="D78" i="340"/>
  <c r="D79" i="340"/>
  <c r="D80" i="340"/>
  <c r="E62" i="340"/>
  <c r="E63" i="340"/>
  <c r="E64" i="340"/>
  <c r="E65" i="340"/>
  <c r="E66" i="340"/>
  <c r="E67" i="340"/>
  <c r="E69" i="340"/>
  <c r="E70" i="340"/>
  <c r="E71" i="340"/>
  <c r="E73" i="340"/>
  <c r="E74" i="340"/>
  <c r="E75" i="340"/>
  <c r="E76" i="340"/>
  <c r="E77" i="340"/>
  <c r="E78" i="340"/>
  <c r="E79" i="340"/>
  <c r="E80" i="340"/>
  <c r="F62" i="340"/>
  <c r="F63" i="340"/>
  <c r="F64" i="340"/>
  <c r="F65" i="340"/>
  <c r="F66" i="340"/>
  <c r="F67" i="340"/>
  <c r="F69" i="340"/>
  <c r="F70" i="340"/>
  <c r="F71" i="340"/>
  <c r="F73" i="340"/>
  <c r="F74" i="340"/>
  <c r="F75" i="340"/>
  <c r="F76" i="340"/>
  <c r="F77" i="340"/>
  <c r="F78" i="340"/>
  <c r="F79" i="340"/>
  <c r="F80" i="340"/>
  <c r="D7" i="339"/>
  <c r="D8" i="339" s="1"/>
  <c r="E1" i="339" s="1"/>
  <c r="G1" i="339"/>
  <c r="G82" i="339"/>
  <c r="F82" i="339"/>
  <c r="E82" i="339"/>
  <c r="D82" i="339"/>
  <c r="C82" i="339"/>
  <c r="B82" i="339"/>
  <c r="H82" i="339"/>
  <c r="G83" i="339"/>
  <c r="F83" i="339"/>
  <c r="E83" i="339"/>
  <c r="D83" i="339"/>
  <c r="C83" i="339"/>
  <c r="B83" i="339"/>
  <c r="H83" i="339"/>
  <c r="J84" i="339"/>
  <c r="C62" i="339"/>
  <c r="C63" i="339"/>
  <c r="C64" i="339"/>
  <c r="C65" i="339"/>
  <c r="C66" i="339"/>
  <c r="C67" i="339"/>
  <c r="C69" i="339"/>
  <c r="C70" i="339"/>
  <c r="C71" i="339"/>
  <c r="C73" i="339"/>
  <c r="C74" i="339"/>
  <c r="C75" i="339"/>
  <c r="C76" i="339"/>
  <c r="C77" i="339"/>
  <c r="C78" i="339"/>
  <c r="C79" i="339"/>
  <c r="C80" i="339"/>
  <c r="D62" i="339"/>
  <c r="D63" i="339"/>
  <c r="D64" i="339"/>
  <c r="D65" i="339"/>
  <c r="D66" i="339"/>
  <c r="D67" i="339"/>
  <c r="D69" i="339"/>
  <c r="D70" i="339"/>
  <c r="D71" i="339"/>
  <c r="D73" i="339"/>
  <c r="D74" i="339"/>
  <c r="D75" i="339"/>
  <c r="D76" i="339"/>
  <c r="D77" i="339"/>
  <c r="D78" i="339"/>
  <c r="D79" i="339"/>
  <c r="D80" i="339"/>
  <c r="E62" i="339"/>
  <c r="E63" i="339"/>
  <c r="E64" i="339"/>
  <c r="E65" i="339"/>
  <c r="E66" i="339"/>
  <c r="E67" i="339"/>
  <c r="E69" i="339"/>
  <c r="E70" i="339"/>
  <c r="E71" i="339"/>
  <c r="E73" i="339"/>
  <c r="E74" i="339"/>
  <c r="E75" i="339"/>
  <c r="E76" i="339"/>
  <c r="E77" i="339"/>
  <c r="E78" i="339"/>
  <c r="E79" i="339"/>
  <c r="E80" i="339"/>
  <c r="F62" i="339"/>
  <c r="F63" i="339"/>
  <c r="F64" i="339"/>
  <c r="F65" i="339"/>
  <c r="F66" i="339"/>
  <c r="F67" i="339"/>
  <c r="F69" i="339"/>
  <c r="F70" i="339"/>
  <c r="F71" i="339"/>
  <c r="F73" i="339"/>
  <c r="F74" i="339"/>
  <c r="F75" i="339"/>
  <c r="F76" i="339"/>
  <c r="F77" i="339"/>
  <c r="F78" i="339"/>
  <c r="F79" i="339"/>
  <c r="F80" i="339"/>
  <c r="D7" i="338"/>
  <c r="D8" i="338" s="1"/>
  <c r="E1" i="338" s="1"/>
  <c r="G1" i="338"/>
  <c r="G82" i="338"/>
  <c r="F82" i="338"/>
  <c r="E82" i="338"/>
  <c r="D82" i="338"/>
  <c r="C82" i="338"/>
  <c r="B82" i="338"/>
  <c r="H82" i="338"/>
  <c r="G83" i="338"/>
  <c r="F83" i="338"/>
  <c r="E83" i="338"/>
  <c r="D83" i="338"/>
  <c r="C83" i="338"/>
  <c r="B83" i="338"/>
  <c r="H83" i="338"/>
  <c r="J84" i="338"/>
  <c r="C62" i="338"/>
  <c r="C63" i="338"/>
  <c r="C64" i="338"/>
  <c r="C65" i="338"/>
  <c r="C66" i="338"/>
  <c r="C67" i="338"/>
  <c r="C69" i="338"/>
  <c r="C70" i="338"/>
  <c r="C71" i="338"/>
  <c r="C73" i="338"/>
  <c r="C74" i="338"/>
  <c r="C75" i="338"/>
  <c r="C76" i="338"/>
  <c r="C77" i="338"/>
  <c r="C78" i="338"/>
  <c r="C79" i="338"/>
  <c r="C80" i="338"/>
  <c r="D62" i="338"/>
  <c r="D63" i="338"/>
  <c r="D64" i="338"/>
  <c r="D65" i="338"/>
  <c r="D66" i="338"/>
  <c r="D67" i="338"/>
  <c r="D69" i="338"/>
  <c r="D70" i="338"/>
  <c r="D71" i="338"/>
  <c r="D73" i="338"/>
  <c r="D74" i="338"/>
  <c r="D75" i="338"/>
  <c r="D76" i="338"/>
  <c r="D77" i="338"/>
  <c r="D78" i="338"/>
  <c r="D79" i="338"/>
  <c r="D80" i="338"/>
  <c r="E62" i="338"/>
  <c r="E63" i="338"/>
  <c r="E64" i="338"/>
  <c r="E65" i="338"/>
  <c r="E66" i="338"/>
  <c r="E67" i="338"/>
  <c r="E69" i="338"/>
  <c r="E70" i="338"/>
  <c r="E71" i="338"/>
  <c r="E73" i="338"/>
  <c r="E74" i="338"/>
  <c r="E75" i="338"/>
  <c r="E76" i="338"/>
  <c r="E77" i="338"/>
  <c r="E78" i="338"/>
  <c r="E79" i="338"/>
  <c r="E80" i="338"/>
  <c r="F62" i="338"/>
  <c r="F63" i="338"/>
  <c r="F64" i="338"/>
  <c r="F65" i="338"/>
  <c r="F66" i="338"/>
  <c r="F67" i="338"/>
  <c r="F69" i="338"/>
  <c r="F70" i="338"/>
  <c r="F71" i="338"/>
  <c r="F73" i="338"/>
  <c r="F74" i="338"/>
  <c r="F75" i="338"/>
  <c r="F76" i="338"/>
  <c r="F77" i="338"/>
  <c r="F78" i="338"/>
  <c r="F79" i="338"/>
  <c r="F80" i="338"/>
  <c r="G82" i="337"/>
  <c r="F82" i="337"/>
  <c r="E82" i="337"/>
  <c r="D82" i="337"/>
  <c r="C82" i="337"/>
  <c r="B82" i="337"/>
  <c r="H82" i="337"/>
  <c r="D7" i="337"/>
  <c r="D8" i="337" s="1"/>
  <c r="E1" i="337" s="1"/>
  <c r="G1" i="337"/>
  <c r="G83" i="337"/>
  <c r="F83" i="337"/>
  <c r="E83" i="337"/>
  <c r="D83" i="337"/>
  <c r="C83" i="337"/>
  <c r="B83" i="337"/>
  <c r="H83" i="337"/>
  <c r="J84" i="337"/>
  <c r="C62" i="337"/>
  <c r="C63" i="337"/>
  <c r="C64" i="337"/>
  <c r="C65" i="337"/>
  <c r="C66" i="337"/>
  <c r="C67" i="337"/>
  <c r="C69" i="337"/>
  <c r="C70" i="337"/>
  <c r="C71" i="337"/>
  <c r="C73" i="337"/>
  <c r="C74" i="337"/>
  <c r="C75" i="337"/>
  <c r="C76" i="337"/>
  <c r="C77" i="337"/>
  <c r="C78" i="337"/>
  <c r="C79" i="337"/>
  <c r="C80" i="337"/>
  <c r="D62" i="337"/>
  <c r="D63" i="337"/>
  <c r="D64" i="337"/>
  <c r="D65" i="337"/>
  <c r="D66" i="337"/>
  <c r="D67" i="337"/>
  <c r="D69" i="337"/>
  <c r="D70" i="337"/>
  <c r="D71" i="337"/>
  <c r="D73" i="337"/>
  <c r="D74" i="337"/>
  <c r="D75" i="337"/>
  <c r="D76" i="337"/>
  <c r="D77" i="337"/>
  <c r="D78" i="337"/>
  <c r="D79" i="337"/>
  <c r="D80" i="337"/>
  <c r="E62" i="337"/>
  <c r="E63" i="337"/>
  <c r="E64" i="337"/>
  <c r="E65" i="337"/>
  <c r="E66" i="337"/>
  <c r="E67" i="337"/>
  <c r="E69" i="337"/>
  <c r="E70" i="337"/>
  <c r="E71" i="337"/>
  <c r="E73" i="337"/>
  <c r="E74" i="337"/>
  <c r="E75" i="337"/>
  <c r="E76" i="337"/>
  <c r="E77" i="337"/>
  <c r="E78" i="337"/>
  <c r="E79" i="337"/>
  <c r="E80" i="337"/>
  <c r="F62" i="337"/>
  <c r="F63" i="337"/>
  <c r="F64" i="337"/>
  <c r="F65" i="337"/>
  <c r="F66" i="337"/>
  <c r="F67" i="337"/>
  <c r="F69" i="337"/>
  <c r="F70" i="337"/>
  <c r="F71" i="337"/>
  <c r="F73" i="337"/>
  <c r="F74" i="337"/>
  <c r="F75" i="337"/>
  <c r="F76" i="337"/>
  <c r="F77" i="337"/>
  <c r="F78" i="337"/>
  <c r="F79" i="337"/>
  <c r="F80" i="337"/>
  <c r="D7" i="336"/>
  <c r="D8" i="336" s="1"/>
  <c r="E1" i="336" s="1"/>
  <c r="G1" i="336"/>
  <c r="G82" i="336"/>
  <c r="F82" i="336"/>
  <c r="H82" i="336"/>
  <c r="E82" i="336"/>
  <c r="D82" i="336"/>
  <c r="C82" i="336"/>
  <c r="B82" i="336"/>
  <c r="G83" i="336"/>
  <c r="F83" i="336"/>
  <c r="E83" i="336"/>
  <c r="H83" i="336"/>
  <c r="D83" i="336"/>
  <c r="C83" i="336"/>
  <c r="B83" i="336"/>
  <c r="J84" i="336"/>
  <c r="B62" i="336"/>
  <c r="B63" i="336"/>
  <c r="B64" i="336"/>
  <c r="B65" i="336"/>
  <c r="B66" i="336"/>
  <c r="B67" i="336"/>
  <c r="B69" i="336"/>
  <c r="B70" i="336"/>
  <c r="B71" i="336"/>
  <c r="B73" i="336"/>
  <c r="B74" i="336"/>
  <c r="B75" i="336"/>
  <c r="B76" i="336"/>
  <c r="B77" i="336"/>
  <c r="B78" i="336"/>
  <c r="B79" i="336"/>
  <c r="B80" i="336"/>
  <c r="C62" i="336"/>
  <c r="C63" i="336"/>
  <c r="C64" i="336"/>
  <c r="C65" i="336"/>
  <c r="C66" i="336"/>
  <c r="C67" i="336"/>
  <c r="C69" i="336"/>
  <c r="C70" i="336"/>
  <c r="C71" i="336"/>
  <c r="C73" i="336"/>
  <c r="C74" i="336"/>
  <c r="C75" i="336"/>
  <c r="C76" i="336"/>
  <c r="C77" i="336"/>
  <c r="C78" i="336"/>
  <c r="C79" i="336"/>
  <c r="C80" i="336"/>
  <c r="D62" i="336"/>
  <c r="D63" i="336"/>
  <c r="D64" i="336"/>
  <c r="D65" i="336"/>
  <c r="D66" i="336"/>
  <c r="D67" i="336"/>
  <c r="D69" i="336"/>
  <c r="D70" i="336"/>
  <c r="D71" i="336"/>
  <c r="D73" i="336"/>
  <c r="D74" i="336"/>
  <c r="D75" i="336"/>
  <c r="D76" i="336"/>
  <c r="D77" i="336"/>
  <c r="D78" i="336"/>
  <c r="D79" i="336"/>
  <c r="D80" i="336"/>
  <c r="E62" i="336"/>
  <c r="E63" i="336"/>
  <c r="E64" i="336"/>
  <c r="E65" i="336"/>
  <c r="E66" i="336"/>
  <c r="E67" i="336"/>
  <c r="E69" i="336"/>
  <c r="E70" i="336"/>
  <c r="E71" i="336"/>
  <c r="E73" i="336"/>
  <c r="E74" i="336"/>
  <c r="E75" i="336"/>
  <c r="E76" i="336"/>
  <c r="E77" i="336"/>
  <c r="E78" i="336"/>
  <c r="E79" i="336"/>
  <c r="E80" i="336"/>
  <c r="F62" i="336"/>
  <c r="F63" i="336"/>
  <c r="F64" i="336"/>
  <c r="F65" i="336"/>
  <c r="F66" i="336"/>
  <c r="F67" i="336"/>
  <c r="F69" i="336"/>
  <c r="F70" i="336"/>
  <c r="F71" i="336"/>
  <c r="F73" i="336"/>
  <c r="F74" i="336"/>
  <c r="F75" i="336"/>
  <c r="F76" i="336"/>
  <c r="F77" i="336"/>
  <c r="F78" i="336"/>
  <c r="F79" i="336"/>
  <c r="F80" i="336"/>
  <c r="E72" i="1"/>
  <c r="E71" i="1"/>
  <c r="E77" i="1"/>
  <c r="E69" i="1"/>
  <c r="E70" i="1"/>
  <c r="E66" i="1"/>
  <c r="M14" i="1"/>
  <c r="M12" i="1"/>
  <c r="M13" i="1"/>
  <c r="J84" i="4"/>
  <c r="J83" i="4"/>
  <c r="J82" i="4"/>
  <c r="J80" i="4"/>
  <c r="J79" i="4"/>
  <c r="J78" i="4"/>
  <c r="J77" i="4"/>
  <c r="J76" i="4"/>
  <c r="J75" i="4"/>
  <c r="J74" i="4"/>
  <c r="J73" i="4"/>
  <c r="H73" i="4" s="1"/>
  <c r="J71" i="4"/>
  <c r="J70" i="4"/>
  <c r="J69" i="4"/>
  <c r="E69" i="4" s="1"/>
  <c r="B84" i="4"/>
  <c r="H83" i="4"/>
  <c r="B83" i="4"/>
  <c r="H82" i="4"/>
  <c r="G82" i="4"/>
  <c r="B82" i="4"/>
  <c r="G80" i="4"/>
  <c r="F80" i="4"/>
  <c r="B80" i="4"/>
  <c r="F79" i="4"/>
  <c r="E79" i="4"/>
  <c r="B79" i="4"/>
  <c r="E78" i="4"/>
  <c r="D78" i="4"/>
  <c r="B78" i="4"/>
  <c r="D77" i="4"/>
  <c r="C77" i="4"/>
  <c r="B77" i="4"/>
  <c r="C76" i="4"/>
  <c r="B76" i="4"/>
  <c r="B75" i="4"/>
  <c r="H74" i="4"/>
  <c r="B74" i="4"/>
  <c r="G73" i="4"/>
  <c r="B73" i="4"/>
  <c r="G71" i="4"/>
  <c r="F71" i="4"/>
  <c r="B71" i="4"/>
  <c r="F70" i="4"/>
  <c r="E70" i="4"/>
  <c r="B70" i="4"/>
  <c r="J67" i="4"/>
  <c r="J66" i="4"/>
  <c r="J65" i="4"/>
  <c r="F65" i="4" s="1"/>
  <c r="J64" i="4"/>
  <c r="J63" i="4"/>
  <c r="J62" i="4"/>
  <c r="B62" i="4" s="1"/>
  <c r="H88" i="4"/>
  <c r="H84" i="4" s="1"/>
  <c r="G88" i="4"/>
  <c r="G83" i="4" s="1"/>
  <c r="F88" i="4"/>
  <c r="F82" i="4" s="1"/>
  <c r="E88" i="4"/>
  <c r="E80" i="4" s="1"/>
  <c r="D88" i="4"/>
  <c r="D79" i="4" s="1"/>
  <c r="C88" i="4"/>
  <c r="C67" i="4" s="1"/>
  <c r="D7" i="341" l="1"/>
  <c r="D8" i="341" s="1"/>
  <c r="E1" i="341" s="1"/>
  <c r="G84" i="341"/>
  <c r="F84" i="341"/>
  <c r="E84" i="341"/>
  <c r="D84" i="341"/>
  <c r="C84" i="341"/>
  <c r="B84" i="341"/>
  <c r="H84" i="341"/>
  <c r="G84" i="340"/>
  <c r="F84" i="340"/>
  <c r="E84" i="340"/>
  <c r="D84" i="340"/>
  <c r="C84" i="340"/>
  <c r="B84" i="340"/>
  <c r="H84" i="340"/>
  <c r="G84" i="339"/>
  <c r="F84" i="339"/>
  <c r="E84" i="339"/>
  <c r="D84" i="339"/>
  <c r="C84" i="339"/>
  <c r="B84" i="339"/>
  <c r="H84" i="339"/>
  <c r="G84" i="338"/>
  <c r="F84" i="338"/>
  <c r="E84" i="338"/>
  <c r="D84" i="338"/>
  <c r="C84" i="338"/>
  <c r="B84" i="338"/>
  <c r="H84" i="338"/>
  <c r="G84" i="337"/>
  <c r="F84" i="337"/>
  <c r="E84" i="337"/>
  <c r="D84" i="337"/>
  <c r="C84" i="337"/>
  <c r="B84" i="337"/>
  <c r="H84" i="337"/>
  <c r="G84" i="336"/>
  <c r="F84" i="336"/>
  <c r="E84" i="336"/>
  <c r="D84" i="336"/>
  <c r="C84" i="336"/>
  <c r="B84" i="336"/>
  <c r="H84" i="336"/>
  <c r="E73" i="1"/>
  <c r="M15" i="1"/>
  <c r="M16" i="1" s="1"/>
  <c r="B69" i="4"/>
  <c r="D69" i="4"/>
  <c r="F69" i="4"/>
  <c r="G70" i="4"/>
  <c r="H71" i="4"/>
  <c r="C75" i="4"/>
  <c r="D76" i="4"/>
  <c r="E77" i="4"/>
  <c r="F78" i="4"/>
  <c r="G79" i="4"/>
  <c r="H80" i="4"/>
  <c r="C84" i="4"/>
  <c r="G69" i="4"/>
  <c r="H70" i="4"/>
  <c r="C74" i="4"/>
  <c r="D75" i="4"/>
  <c r="E76" i="4"/>
  <c r="F77" i="4"/>
  <c r="G78" i="4"/>
  <c r="H79" i="4"/>
  <c r="C83" i="4"/>
  <c r="D84" i="4"/>
  <c r="H69" i="4"/>
  <c r="C73" i="4"/>
  <c r="D74" i="4"/>
  <c r="E75" i="4"/>
  <c r="F76" i="4"/>
  <c r="G77" i="4"/>
  <c r="H78" i="4"/>
  <c r="C82" i="4"/>
  <c r="D83" i="4"/>
  <c r="E84" i="4"/>
  <c r="C71" i="4"/>
  <c r="D73" i="4"/>
  <c r="E74" i="4"/>
  <c r="F75" i="4"/>
  <c r="G76" i="4"/>
  <c r="H77" i="4"/>
  <c r="C80" i="4"/>
  <c r="D82" i="4"/>
  <c r="E83" i="4"/>
  <c r="F84" i="4"/>
  <c r="C70" i="4"/>
  <c r="D71" i="4"/>
  <c r="E73" i="4"/>
  <c r="F74" i="4"/>
  <c r="G75" i="4"/>
  <c r="H76" i="4"/>
  <c r="C79" i="4"/>
  <c r="D80" i="4"/>
  <c r="E82" i="4"/>
  <c r="F83" i="4"/>
  <c r="G84" i="4"/>
  <c r="C69" i="4"/>
  <c r="D70" i="4"/>
  <c r="E71" i="4"/>
  <c r="F73" i="4"/>
  <c r="G74" i="4"/>
  <c r="H75" i="4"/>
  <c r="C78" i="4"/>
  <c r="G64" i="4"/>
  <c r="G66" i="4"/>
  <c r="H67" i="4"/>
  <c r="D63" i="4"/>
  <c r="D65" i="4"/>
  <c r="E64" i="4"/>
  <c r="G65" i="4"/>
  <c r="H65" i="4"/>
  <c r="B66" i="4"/>
  <c r="E66" i="4"/>
  <c r="D62" i="4"/>
  <c r="H66" i="4"/>
  <c r="E62" i="4"/>
  <c r="B67" i="4"/>
  <c r="C62" i="4"/>
  <c r="E63" i="4"/>
  <c r="F64" i="4"/>
  <c r="F62" i="4"/>
  <c r="H63" i="4"/>
  <c r="B65" i="4"/>
  <c r="C66" i="4"/>
  <c r="D67" i="4"/>
  <c r="G62" i="4"/>
  <c r="B64" i="4"/>
  <c r="C65" i="4"/>
  <c r="D66" i="4"/>
  <c r="E67" i="4"/>
  <c r="F63" i="4"/>
  <c r="B63" i="4"/>
  <c r="C64" i="4"/>
  <c r="F67" i="4"/>
  <c r="H64" i="4"/>
  <c r="H62" i="4"/>
  <c r="C63" i="4"/>
  <c r="D64" i="4"/>
  <c r="E65" i="4"/>
  <c r="F66" i="4"/>
  <c r="G67" i="4"/>
  <c r="G63" i="4"/>
  <c r="C29" i="1"/>
  <c r="C28" i="1"/>
  <c r="C20" i="1"/>
  <c r="C8" i="1"/>
  <c r="C7" i="1"/>
  <c r="C47" i="1"/>
  <c r="C15" i="1"/>
  <c r="C38" i="1"/>
  <c r="C10" i="1"/>
  <c r="C36" i="1"/>
  <c r="C5" i="1"/>
  <c r="C9" i="1"/>
  <c r="C21" i="1"/>
  <c r="C33" i="1"/>
  <c r="C30" i="1"/>
  <c r="C11" i="1"/>
  <c r="C18" i="1"/>
  <c r="C23" i="1"/>
  <c r="C25" i="1"/>
  <c r="C4" i="1"/>
  <c r="C24" i="1"/>
  <c r="C6" i="1"/>
  <c r="C41" i="1"/>
  <c r="C16" i="1"/>
  <c r="C14" i="1"/>
  <c r="C31" i="1"/>
  <c r="C13" i="1"/>
  <c r="D53" i="4" l="1"/>
  <c r="E10" i="4"/>
  <c r="E18" i="4"/>
  <c r="E23" i="4"/>
  <c r="E41" i="4"/>
  <c r="E35" i="4"/>
  <c r="D41" i="4"/>
  <c r="D35" i="4"/>
  <c r="A33" i="4"/>
  <c r="D5" i="4"/>
  <c r="I1" i="4" s="1"/>
  <c r="A23" i="4"/>
  <c r="D18" i="4"/>
  <c r="D4" i="4" s="1"/>
  <c r="H1" i="4" s="1"/>
  <c r="D10" i="4"/>
  <c r="D3" i="4" s="1"/>
  <c r="A18" i="4"/>
  <c r="A10" i="4"/>
  <c r="C42" i="1"/>
  <c r="C43" i="1"/>
  <c r="C22" i="1"/>
  <c r="C49" i="1"/>
  <c r="C12" i="1"/>
  <c r="C40" i="1"/>
  <c r="C27" i="1"/>
  <c r="C39" i="1"/>
  <c r="C19" i="1"/>
  <c r="C35" i="1"/>
  <c r="C17" i="1"/>
  <c r="C37" i="1"/>
  <c r="C26" i="1"/>
  <c r="C32" i="1"/>
  <c r="C34" i="1"/>
  <c r="B47" i="2" l="1"/>
  <c r="B26" i="2"/>
  <c r="M4" i="1"/>
  <c r="M5" i="1"/>
  <c r="C71" i="1"/>
  <c r="C69" i="1"/>
  <c r="C70" i="1" s="1"/>
  <c r="B2" i="2"/>
  <c r="B3" i="2" s="1"/>
  <c r="M9" i="1"/>
  <c r="M8" i="1"/>
  <c r="M7" i="1"/>
  <c r="M6" i="1"/>
  <c r="D34" i="4"/>
  <c r="D33" i="4" s="1"/>
  <c r="D6" i="4" s="1"/>
  <c r="J1" i="4" s="1"/>
  <c r="G1" i="4"/>
  <c r="B48" i="2" l="1"/>
  <c r="B27" i="2"/>
  <c r="M10" i="1"/>
  <c r="C72" i="1"/>
  <c r="B4" i="2"/>
  <c r="D7" i="4"/>
  <c r="D8" i="4" s="1"/>
  <c r="E1" i="4" s="1"/>
  <c r="B49" i="2" l="1"/>
  <c r="B28" i="2"/>
  <c r="B5" i="2"/>
  <c r="B50" i="2" l="1"/>
  <c r="B51" i="2" s="1"/>
  <c r="B52" i="2" s="1"/>
  <c r="B29" i="2"/>
  <c r="B30" i="2" s="1"/>
  <c r="B31" i="2" s="1"/>
  <c r="B32" i="2" s="1"/>
  <c r="B33" i="2" s="1"/>
  <c r="B34" i="2" s="1"/>
  <c r="B35" i="2" s="1"/>
  <c r="B36" i="2" s="1"/>
  <c r="B37" i="2" s="1"/>
  <c r="B6" i="2"/>
  <c r="B7" i="2" l="1"/>
  <c r="B8" i="2" s="1"/>
  <c r="B9" i="2" s="1"/>
  <c r="B10" i="2" s="1"/>
  <c r="B11" i="2" s="1"/>
  <c r="B12" i="2" l="1"/>
  <c r="B13" i="2" s="1"/>
  <c r="B14" i="2" s="1"/>
  <c r="B15" i="2" s="1"/>
  <c r="B16" i="2" s="1"/>
  <c r="B17" i="2" l="1"/>
  <c r="B18" i="2" s="1"/>
  <c r="B19" i="2" s="1"/>
  <c r="B20" i="2" s="1"/>
  <c r="B21" i="2" s="1"/>
  <c r="B22" i="2" s="1"/>
  <c r="B24" i="2" s="1"/>
  <c r="B38" i="2" l="1"/>
  <c r="B53" i="2" l="1"/>
  <c r="B97" i="2" s="1"/>
</calcChain>
</file>

<file path=xl/sharedStrings.xml><?xml version="1.0" encoding="utf-8"?>
<sst xmlns="http://schemas.openxmlformats.org/spreadsheetml/2006/main" count="655" uniqueCount="107">
  <si>
    <t>Student</t>
  </si>
  <si>
    <t>Submitted</t>
  </si>
  <si>
    <t>Name</t>
  </si>
  <si>
    <t>Mark</t>
  </si>
  <si>
    <t>Comments</t>
  </si>
  <si>
    <t>Classes &amp; Objects</t>
  </si>
  <si>
    <t>OOP Principles</t>
  </si>
  <si>
    <t>Summary</t>
  </si>
  <si>
    <t>Quality</t>
  </si>
  <si>
    <t>Animal ArrayList</t>
  </si>
  <si>
    <t>Animal Classes</t>
  </si>
  <si>
    <t>Extension</t>
  </si>
  <si>
    <t>Com4005M Programming 02 - Marking</t>
  </si>
  <si>
    <t>Submission Date</t>
  </si>
  <si>
    <t>S</t>
  </si>
  <si>
    <t>NS</t>
  </si>
  <si>
    <t>LD</t>
  </si>
  <si>
    <t>L</t>
  </si>
  <si>
    <t>Particpant #</t>
  </si>
  <si>
    <t>P</t>
  </si>
  <si>
    <t>F</t>
  </si>
  <si>
    <t>1. OOP Essay [25%]</t>
  </si>
  <si>
    <t>Out Of</t>
  </si>
  <si>
    <t>2. Zoo Design [25%]</t>
  </si>
  <si>
    <t>4 Assessment Exercises [25%]</t>
  </si>
  <si>
    <t>3. Zoo Application [25%]</t>
  </si>
  <si>
    <t>Total Mark</t>
  </si>
  <si>
    <t>Percentage</t>
  </si>
  <si>
    <t>Introduction</t>
  </si>
  <si>
    <t>What is OOP &amp; Why Is It Good?</t>
  </si>
  <si>
    <t>High level design</t>
  </si>
  <si>
    <t>Class diagram</t>
  </si>
  <si>
    <t>Feature list and other design notes</t>
  </si>
  <si>
    <t>Code runs without errors</t>
  </si>
  <si>
    <t>Display Details</t>
  </si>
  <si>
    <t>Display List</t>
  </si>
  <si>
    <t>Get Type List</t>
  </si>
  <si>
    <t>Display Food</t>
  </si>
  <si>
    <t>Get Animals From Environment</t>
  </si>
  <si>
    <t>Exercise 1</t>
  </si>
  <si>
    <t>public double magnitude() implemented</t>
  </si>
  <si>
    <t>public double argument() implemented</t>
  </si>
  <si>
    <t>public double add() implemented</t>
  </si>
  <si>
    <t>public double toString() implemented</t>
  </si>
  <si>
    <t>Exercise 2</t>
  </si>
  <si>
    <t>Square</t>
  </si>
  <si>
    <t>constructors</t>
  </si>
  <si>
    <t>setSize(), getSize()</t>
  </si>
  <si>
    <t>area(), circumference()</t>
  </si>
  <si>
    <t>draw()</t>
  </si>
  <si>
    <t>Pass all Square unit tests</t>
  </si>
  <si>
    <t>Rectangle</t>
  </si>
  <si>
    <t>setWidth(), getWidth(), setHeight(), getHeight()</t>
  </si>
  <si>
    <t>Pass all Rectangle unit tests</t>
  </si>
  <si>
    <t>Exercise 3</t>
  </si>
  <si>
    <t>Bank Accounts</t>
  </si>
  <si>
    <t>Bank Account</t>
  </si>
  <si>
    <t>Saving Account</t>
  </si>
  <si>
    <t>Overdraft Charges</t>
  </si>
  <si>
    <t>Assessment Component</t>
  </si>
  <si>
    <t>Descriptors By Grade</t>
  </si>
  <si>
    <t>85%+ Excellent</t>
  </si>
  <si>
    <t>70-85% Very Good</t>
  </si>
  <si>
    <t>60-69% Good</t>
  </si>
  <si>
    <t>50-59% Okay</t>
  </si>
  <si>
    <t>40-49% Acceptable</t>
  </si>
  <si>
    <t>20-39% Weak</t>
  </si>
  <si>
    <t>0-19% Poor</t>
  </si>
  <si>
    <t>One Page</t>
  </si>
  <si>
    <t>OOP Essay</t>
  </si>
  <si>
    <t>Zoo Design</t>
  </si>
  <si>
    <t>Zoo Application</t>
  </si>
  <si>
    <t>Assessment Exercises</t>
  </si>
  <si>
    <t>Submission #</t>
  </si>
  <si>
    <t>Status</t>
  </si>
  <si>
    <t>Actual Deadline</t>
  </si>
  <si>
    <t>Counts</t>
  </si>
  <si>
    <t>Grades</t>
  </si>
  <si>
    <t>Student Count</t>
  </si>
  <si>
    <t>Submissions</t>
  </si>
  <si>
    <t>Sum</t>
  </si>
  <si>
    <t>No Submission</t>
  </si>
  <si>
    <t>1-39</t>
  </si>
  <si>
    <t>40+</t>
  </si>
  <si>
    <t>sum</t>
  </si>
  <si>
    <t>2:2</t>
  </si>
  <si>
    <t>3</t>
  </si>
  <si>
    <t>2:1</t>
  </si>
  <si>
    <t>1</t>
  </si>
  <si>
    <t>Basic list of objects good</t>
  </si>
  <si>
    <t>Rest is simplistic</t>
  </si>
  <si>
    <t>Use methods for each</t>
  </si>
  <si>
    <t>Don't pass in arguments</t>
  </si>
  <si>
    <t>Use the class variables</t>
  </si>
  <si>
    <t>Methods should be part</t>
  </si>
  <si>
    <t>of bankaccount class</t>
  </si>
  <si>
    <t>Should be of animal class</t>
  </si>
  <si>
    <t>Animal classed rqd</t>
  </si>
  <si>
    <t>Child classes should be used</t>
  </si>
  <si>
    <t>Should be methods rather than</t>
  </si>
  <si>
    <t>one huge method</t>
  </si>
  <si>
    <t>Student1</t>
  </si>
  <si>
    <t>Student2</t>
  </si>
  <si>
    <t>Student3</t>
  </si>
  <si>
    <t>Student4</t>
  </si>
  <si>
    <t>Student5</t>
  </si>
  <si>
    <t>Student6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</si>
</sst>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Roboto"/>
    </font>
    <font>
      <b/>
      <i/>
      <sz val="10"/>
      <color rgb="FF000000"/>
      <name val="Roboto"/>
    </font>
    <font>
      <sz val="11"/>
      <color rgb="FF000000"/>
      <name val="Roboto"/>
    </font>
    <font>
      <sz val="11"/>
      <color theme="1"/>
      <name val="Roboto"/>
    </font>
    <font>
      <u/>
      <sz val="11"/>
      <color theme="10"/>
      <name val="Calibri"/>
      <family val="2"/>
      <charset val="1"/>
    </font>
    <font>
      <sz val="8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10" fillId="0" borderId="0" applyNumberFormat="0" applyFill="0" applyBorder="0" applyAlignment="0" applyProtection="0"/>
  </cellStyleXfs>
  <cellXfs count="45">
    <xf numFmtId="0" fontId="0" fillId="0" borderId="0" xfId="0"/>
    <xf numFmtId="22" fontId="0" fillId="0" borderId="0" xfId="0" applyNumberFormat="1"/>
    <xf numFmtId="14" fontId="0" fillId="0" borderId="0" xfId="0" applyNumberFormat="1"/>
    <xf numFmtId="22" fontId="0" fillId="0" borderId="0" xfId="0" applyNumberFormat="1" applyAlignment="1">
      <alignment wrapText="1" readingOrder="1"/>
    </xf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5" fillId="4" borderId="1" xfId="3"/>
    <xf numFmtId="0" fontId="3" fillId="2" borderId="1" xfId="1" applyBorder="1"/>
    <xf numFmtId="0" fontId="3" fillId="2" borderId="0" xfId="1"/>
    <xf numFmtId="0" fontId="3" fillId="2" borderId="0" xfId="1" quotePrefix="1"/>
    <xf numFmtId="0" fontId="4" fillId="3" borderId="0" xfId="2"/>
    <xf numFmtId="0" fontId="6" fillId="0" borderId="2" xfId="0" applyFont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0" fillId="0" borderId="3" xfId="0" applyBorder="1"/>
    <xf numFmtId="0" fontId="0" fillId="0" borderId="4" xfId="0" applyBorder="1"/>
    <xf numFmtId="0" fontId="6" fillId="0" borderId="9" xfId="0" applyFont="1" applyBorder="1" applyAlignment="1">
      <alignment horizontal="center" vertical="top"/>
    </xf>
    <xf numFmtId="0" fontId="6" fillId="0" borderId="10" xfId="0" applyFont="1" applyBorder="1" applyAlignment="1">
      <alignment horizontal="center" vertical="top"/>
    </xf>
    <xf numFmtId="0" fontId="6" fillId="0" borderId="11" xfId="0" applyFont="1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6" fillId="0" borderId="13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6" fillId="0" borderId="15" xfId="0" applyFont="1" applyBorder="1" applyAlignment="1">
      <alignment horizontal="center" vertical="top"/>
    </xf>
    <xf numFmtId="0" fontId="6" fillId="0" borderId="16" xfId="0" applyFont="1" applyBorder="1" applyAlignment="1">
      <alignment horizontal="center" vertical="top"/>
    </xf>
    <xf numFmtId="0" fontId="9" fillId="0" borderId="0" xfId="0" applyFont="1" applyFill="1" applyBorder="1" applyAlignment="1">
      <alignment horizontal="right" vertical="top"/>
    </xf>
    <xf numFmtId="0" fontId="0" fillId="0" borderId="0" xfId="0" applyFont="1" applyBorder="1" applyAlignment="1">
      <alignment horizontal="right"/>
    </xf>
    <xf numFmtId="0" fontId="6" fillId="0" borderId="4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6" xfId="0" applyFont="1" applyBorder="1" applyAlignment="1">
      <alignment horizontal="center" vertical="top"/>
    </xf>
    <xf numFmtId="0" fontId="6" fillId="0" borderId="7" xfId="0" applyFont="1" applyBorder="1" applyAlignment="1">
      <alignment horizontal="center" vertical="top"/>
    </xf>
    <xf numFmtId="0" fontId="7" fillId="5" borderId="18" xfId="0" applyFont="1" applyFill="1" applyBorder="1" applyAlignment="1">
      <alignment vertical="top" wrapText="1"/>
    </xf>
    <xf numFmtId="0" fontId="7" fillId="0" borderId="18" xfId="0" applyFont="1" applyBorder="1" applyAlignment="1">
      <alignment vertical="top" wrapText="1"/>
    </xf>
    <xf numFmtId="0" fontId="7" fillId="0" borderId="19" xfId="0" applyFont="1" applyBorder="1" applyAlignment="1">
      <alignment vertical="top" wrapText="1"/>
    </xf>
    <xf numFmtId="0" fontId="7" fillId="0" borderId="20" xfId="0" applyFont="1" applyBorder="1" applyAlignment="1">
      <alignment vertical="top" wrapText="1"/>
    </xf>
    <xf numFmtId="0" fontId="7" fillId="0" borderId="21" xfId="0" applyFont="1" applyBorder="1" applyAlignment="1">
      <alignment vertical="top" wrapText="1"/>
    </xf>
    <xf numFmtId="0" fontId="6" fillId="0" borderId="22" xfId="0" applyFont="1" applyBorder="1" applyAlignment="1">
      <alignment vertical="top" wrapText="1"/>
    </xf>
    <xf numFmtId="0" fontId="6" fillId="0" borderId="8" xfId="0" applyFont="1" applyBorder="1" applyAlignment="1">
      <alignment vertical="top" wrapText="1"/>
    </xf>
    <xf numFmtId="0" fontId="6" fillId="0" borderId="23" xfId="0" applyFont="1" applyBorder="1" applyAlignment="1">
      <alignment vertical="top" wrapText="1"/>
    </xf>
    <xf numFmtId="0" fontId="6" fillId="0" borderId="17" xfId="0" applyFont="1" applyBorder="1" applyAlignment="1">
      <alignment vertical="top" wrapText="1"/>
    </xf>
    <xf numFmtId="2" fontId="0" fillId="0" borderId="0" xfId="0" applyNumberFormat="1"/>
    <xf numFmtId="1" fontId="0" fillId="0" borderId="0" xfId="0" applyNumberFormat="1"/>
    <xf numFmtId="0" fontId="10" fillId="0" borderId="0" xfId="4" applyAlignment="1">
      <alignment vertical="center"/>
    </xf>
    <xf numFmtId="17" fontId="0" fillId="0" borderId="0" xfId="0" quotePrefix="1" applyNumberFormat="1"/>
    <xf numFmtId="0" fontId="0" fillId="0" borderId="0" xfId="0" quotePrefix="1"/>
    <xf numFmtId="20" fontId="0" fillId="0" borderId="0" xfId="0" quotePrefix="1" applyNumberFormat="1"/>
  </cellXfs>
  <cellStyles count="5">
    <cellStyle name="Good" xfId="1" builtinId="26"/>
    <cellStyle name="Hyperlink" xfId="4" builtinId="8"/>
    <cellStyle name="Input" xfId="3" builtinId="20"/>
    <cellStyle name="Neutral" xfId="2" builtinId="2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7F301"/>
      <color rgb="FF3399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chart!$A$3:$A$21</c:f>
              <c:numCache>
                <c:formatCode>General</c:formatCode>
                <c:ptCount val="1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</c:numCache>
            </c:numRef>
          </c:cat>
          <c:val>
            <c:numRef>
              <c:f>chart!$B$3:$B$21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A-4266-9788-09EDEFDDA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8107668"/>
        <c:axId val="89596960"/>
      </c:barChart>
      <c:catAx>
        <c:axId val="681076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9596960"/>
        <c:crosses val="autoZero"/>
        <c:auto val="1"/>
        <c:lblAlgn val="ctr"/>
        <c:lblOffset val="100"/>
        <c:noMultiLvlLbl val="1"/>
      </c:catAx>
      <c:valAx>
        <c:axId val="8959696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8107668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chart!$A$26:$A$36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chart!$B$26:$B$36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8-4C64-8560-46EDA1E43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8107668"/>
        <c:axId val="89596960"/>
      </c:barChart>
      <c:catAx>
        <c:axId val="681076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9596960"/>
        <c:crosses val="autoZero"/>
        <c:auto val="1"/>
        <c:lblAlgn val="ctr"/>
        <c:lblOffset val="100"/>
        <c:noMultiLvlLbl val="1"/>
      </c:catAx>
      <c:valAx>
        <c:axId val="8959696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8107668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chart!$C$47:$C$52</c:f>
              <c:strCache>
                <c:ptCount val="6"/>
                <c:pt idx="0">
                  <c:v>NS</c:v>
                </c:pt>
                <c:pt idx="1">
                  <c:v>F</c:v>
                </c:pt>
                <c:pt idx="2">
                  <c:v>3</c:v>
                </c:pt>
                <c:pt idx="3">
                  <c:v>2:2</c:v>
                </c:pt>
                <c:pt idx="4">
                  <c:v>2:1</c:v>
                </c:pt>
                <c:pt idx="5">
                  <c:v>1</c:v>
                </c:pt>
              </c:strCache>
            </c:strRef>
          </c:cat>
          <c:val>
            <c:numRef>
              <c:f>chart!$B$47:$B$52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3-44CD-A191-73484073A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8107668"/>
        <c:axId val="89596960"/>
      </c:barChart>
      <c:catAx>
        <c:axId val="681076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9596960"/>
        <c:crosses val="autoZero"/>
        <c:auto val="1"/>
        <c:lblAlgn val="ctr"/>
        <c:lblOffset val="100"/>
        <c:noMultiLvlLbl val="1"/>
      </c:catAx>
      <c:valAx>
        <c:axId val="8959696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8107668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49680</xdr:colOff>
      <xdr:row>3</xdr:row>
      <xdr:rowOff>22680</xdr:rowOff>
    </xdr:from>
    <xdr:to>
      <xdr:col>13</xdr:col>
      <xdr:colOff>0</xdr:colOff>
      <xdr:row>21</xdr:row>
      <xdr:rowOff>99000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24</xdr:row>
      <xdr:rowOff>0</xdr:rowOff>
    </xdr:from>
    <xdr:to>
      <xdr:col>12</xdr:col>
      <xdr:colOff>582780</xdr:colOff>
      <xdr:row>42</xdr:row>
      <xdr:rowOff>76320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5B0BE8-9CB7-45D9-9ED0-16FB287FE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46</xdr:row>
      <xdr:rowOff>0</xdr:rowOff>
    </xdr:from>
    <xdr:to>
      <xdr:col>12</xdr:col>
      <xdr:colOff>582780</xdr:colOff>
      <xdr:row>64</xdr:row>
      <xdr:rowOff>76320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08EB79-6E7D-4743-A05E-CE7E1C14E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77"/>
  <sheetViews>
    <sheetView zoomScale="200" zoomScaleNormal="200" workbookViewId="0">
      <selection activeCell="K9" sqref="K9"/>
    </sheetView>
  </sheetViews>
  <sheetFormatPr defaultRowHeight="14.5" x14ac:dyDescent="0.35"/>
  <cols>
    <col min="1" max="1" width="24.6328125" customWidth="1"/>
    <col min="2" max="2" width="28.90625" customWidth="1"/>
    <col min="3" max="3" width="7" customWidth="1"/>
    <col min="4" max="4" width="27.08984375" customWidth="1"/>
    <col min="5" max="5" width="6.1796875" customWidth="1"/>
    <col min="6" max="7" width="16.453125" customWidth="1"/>
    <col min="8" max="8" width="6.1796875" customWidth="1"/>
    <col min="9" max="11" width="8.81640625" customWidth="1"/>
    <col min="12" max="12" width="5.90625" customWidth="1"/>
    <col min="13" max="15" width="8.54296875" customWidth="1"/>
    <col min="16" max="16" width="11.54296875" customWidth="1"/>
    <col min="17" max="1028" width="8.54296875" customWidth="1"/>
  </cols>
  <sheetData>
    <row r="1" spans="1:16" x14ac:dyDescent="0.35">
      <c r="A1" t="s">
        <v>12</v>
      </c>
      <c r="C1" t="s">
        <v>13</v>
      </c>
      <c r="D1" s="3">
        <v>44697.5</v>
      </c>
      <c r="J1" t="s">
        <v>78</v>
      </c>
      <c r="K1" s="1"/>
      <c r="L1" s="40">
        <v>6</v>
      </c>
    </row>
    <row r="3" spans="1:16" x14ac:dyDescent="0.35">
      <c r="A3" t="s">
        <v>73</v>
      </c>
      <c r="B3" t="s">
        <v>2</v>
      </c>
      <c r="C3" t="s">
        <v>3</v>
      </c>
      <c r="D3" t="s">
        <v>1</v>
      </c>
      <c r="E3" t="s">
        <v>74</v>
      </c>
      <c r="F3" t="s">
        <v>11</v>
      </c>
      <c r="G3" t="s">
        <v>75</v>
      </c>
      <c r="J3" t="s">
        <v>77</v>
      </c>
    </row>
    <row r="4" spans="1:16" x14ac:dyDescent="0.35">
      <c r="A4">
        <f>class_list!A2</f>
        <v>1000001</v>
      </c>
      <c r="B4" t="str">
        <f>class_list!B2</f>
        <v>Student1</v>
      </c>
      <c r="C4">
        <f ca="1">INDIRECT(CONCATENATE(,$B4,"!$e$1"))</f>
        <v>40</v>
      </c>
      <c r="D4" s="1">
        <v>44697.458333333336</v>
      </c>
      <c r="E4" s="2" t="str">
        <f>IF($D4="","NS",IF($D4&lt;=($G4),"S",IF($D4&lt;=($G4+1),"LD",IF($D4&lt;=($G4+7),"L","NS"))))</f>
        <v>S</v>
      </c>
      <c r="G4" s="1">
        <f>IF(F4="",$D$1,$F4)</f>
        <v>44697.5</v>
      </c>
      <c r="J4">
        <v>0</v>
      </c>
      <c r="K4">
        <v>0</v>
      </c>
      <c r="M4" s="40">
        <f ca="1">COUNTIFS($C$4:$C$64,"="&amp;J4)</f>
        <v>0</v>
      </c>
      <c r="N4" s="39"/>
      <c r="O4" s="39"/>
      <c r="P4" s="39"/>
    </row>
    <row r="5" spans="1:16" x14ac:dyDescent="0.35">
      <c r="A5">
        <f>class_list!A3</f>
        <v>1000002</v>
      </c>
      <c r="B5" t="str">
        <f>class_list!B3</f>
        <v>Student2</v>
      </c>
      <c r="C5">
        <f t="shared" ref="C5:C64" ca="1" si="0">INDIRECT(CONCATENATE(,$B5,"!$e$1"))</f>
        <v>35</v>
      </c>
      <c r="D5" s="1">
        <v>44697.458333333336</v>
      </c>
      <c r="E5" s="2" t="str">
        <f t="shared" ref="E5:E64" si="1">IF($D5="","NS",IF($D5&lt;=($G5),"S",IF($D5&lt;=($G5+1),"LD",IF($D5&lt;=($G5+7),"L","NS"))))</f>
        <v>S</v>
      </c>
      <c r="G5" s="1">
        <f t="shared" ref="G5:G64" si="2">IF(F5="",$D$1,$F5)</f>
        <v>44697.5</v>
      </c>
      <c r="J5" s="39">
        <v>1</v>
      </c>
      <c r="K5" s="39">
        <v>40</v>
      </c>
      <c r="L5" s="39" t="s">
        <v>20</v>
      </c>
      <c r="M5" s="40">
        <f t="shared" ref="M5:M9" ca="1" si="3">COUNTIFS($C$4:$C$64,"&gt;="&amp;J5,$C$4:$C$64,"&lt;"&amp;K5)</f>
        <v>1</v>
      </c>
      <c r="N5" s="39"/>
      <c r="O5" s="39"/>
      <c r="P5" s="39"/>
    </row>
    <row r="6" spans="1:16" x14ac:dyDescent="0.35">
      <c r="A6">
        <f>class_list!A4</f>
        <v>1000003</v>
      </c>
      <c r="B6" t="str">
        <f>class_list!B4</f>
        <v>Student3</v>
      </c>
      <c r="C6">
        <f t="shared" ca="1" si="0"/>
        <v>49</v>
      </c>
      <c r="D6" s="1">
        <v>44697.458333333336</v>
      </c>
      <c r="E6" s="2" t="str">
        <f t="shared" si="1"/>
        <v>S</v>
      </c>
      <c r="G6" s="1">
        <f t="shared" si="2"/>
        <v>44697.5</v>
      </c>
      <c r="J6" s="39">
        <v>40</v>
      </c>
      <c r="K6" s="39">
        <v>50</v>
      </c>
      <c r="L6" s="39" t="s">
        <v>19</v>
      </c>
      <c r="M6" s="40">
        <f t="shared" ca="1" si="3"/>
        <v>3</v>
      </c>
      <c r="N6" s="39"/>
      <c r="O6" s="39"/>
      <c r="P6" s="39"/>
    </row>
    <row r="7" spans="1:16" x14ac:dyDescent="0.35">
      <c r="A7">
        <f>class_list!A5</f>
        <v>1000004</v>
      </c>
      <c r="B7" t="str">
        <f>class_list!B5</f>
        <v>Student4</v>
      </c>
      <c r="C7">
        <f t="shared" ca="1" si="0"/>
        <v>53</v>
      </c>
      <c r="D7" s="1">
        <v>44697.458333333336</v>
      </c>
      <c r="E7" s="2" t="str">
        <f t="shared" si="1"/>
        <v>S</v>
      </c>
      <c r="G7" s="1">
        <f t="shared" si="2"/>
        <v>44697.5</v>
      </c>
      <c r="J7" s="39">
        <v>50</v>
      </c>
      <c r="K7" s="39">
        <v>60</v>
      </c>
      <c r="L7" s="39" t="s">
        <v>19</v>
      </c>
      <c r="M7" s="40">
        <f t="shared" ca="1" si="3"/>
        <v>2</v>
      </c>
      <c r="N7" s="39"/>
      <c r="O7" s="39"/>
      <c r="P7" s="39"/>
    </row>
    <row r="8" spans="1:16" x14ac:dyDescent="0.35">
      <c r="A8">
        <f>class_list!A6</f>
        <v>1000005</v>
      </c>
      <c r="B8" t="str">
        <f>class_list!B6</f>
        <v>Student5</v>
      </c>
      <c r="C8">
        <f t="shared" ca="1" si="0"/>
        <v>40</v>
      </c>
      <c r="D8" s="1">
        <v>44697.458333333336</v>
      </c>
      <c r="E8" s="2" t="str">
        <f t="shared" si="1"/>
        <v>S</v>
      </c>
      <c r="G8" s="1">
        <f t="shared" si="2"/>
        <v>44697.5</v>
      </c>
      <c r="J8" s="39">
        <v>60</v>
      </c>
      <c r="K8" s="39">
        <v>70</v>
      </c>
      <c r="L8" s="39" t="s">
        <v>19</v>
      </c>
      <c r="M8" s="40">
        <f t="shared" ca="1" si="3"/>
        <v>0</v>
      </c>
      <c r="N8" s="39"/>
      <c r="O8" s="39"/>
      <c r="P8" s="39"/>
    </row>
    <row r="9" spans="1:16" x14ac:dyDescent="0.35">
      <c r="A9">
        <f>class_list!A7</f>
        <v>1000006</v>
      </c>
      <c r="B9" t="str">
        <f>class_list!B7</f>
        <v>Student6</v>
      </c>
      <c r="C9">
        <f t="shared" ca="1" si="0"/>
        <v>57</v>
      </c>
      <c r="D9" s="1">
        <v>44697.458333333336</v>
      </c>
      <c r="E9" s="2" t="str">
        <f t="shared" si="1"/>
        <v>S</v>
      </c>
      <c r="G9" s="1">
        <f t="shared" si="2"/>
        <v>44697.5</v>
      </c>
      <c r="J9" s="39">
        <v>70</v>
      </c>
      <c r="K9" s="39">
        <v>101</v>
      </c>
      <c r="L9" s="39" t="s">
        <v>19</v>
      </c>
      <c r="M9" s="40">
        <f t="shared" ca="1" si="3"/>
        <v>0</v>
      </c>
      <c r="N9" s="39"/>
      <c r="O9" s="39"/>
      <c r="P9" s="39"/>
    </row>
    <row r="10" spans="1:16" x14ac:dyDescent="0.35">
      <c r="A10">
        <f>class_list!A8</f>
        <v>0</v>
      </c>
      <c r="B10">
        <f>class_list!B8</f>
        <v>0</v>
      </c>
      <c r="C10" t="e">
        <f t="shared" ca="1" si="0"/>
        <v>#REF!</v>
      </c>
      <c r="D10" s="1">
        <v>44697.458333333336</v>
      </c>
      <c r="E10" s="2" t="str">
        <f>IF($D10="","NS",IF($D10&lt;=($G10),"S",IF($D10&lt;=($G10+1),"LD",IF($D10&lt;=($G10+7),"L","NS"))))</f>
        <v>S</v>
      </c>
      <c r="G10" s="1">
        <f t="shared" si="2"/>
        <v>44697.5</v>
      </c>
      <c r="J10" s="39"/>
      <c r="K10" s="39"/>
      <c r="L10" s="39" t="s">
        <v>80</v>
      </c>
      <c r="M10" s="40">
        <f ca="1">SUM(M4:M9)</f>
        <v>6</v>
      </c>
      <c r="N10" s="39"/>
      <c r="O10" s="39"/>
      <c r="P10" s="39"/>
    </row>
    <row r="11" spans="1:16" x14ac:dyDescent="0.35">
      <c r="A11">
        <f>class_list!A9</f>
        <v>0</v>
      </c>
      <c r="B11">
        <f>class_list!B9</f>
        <v>0</v>
      </c>
      <c r="C11" t="e">
        <f t="shared" ca="1" si="0"/>
        <v>#REF!</v>
      </c>
      <c r="D11" s="1">
        <v>44697.458333333336</v>
      </c>
      <c r="E11" s="2" t="str">
        <f>IF($D11="","NS",IF($D11&lt;=($G11),"S",IF($D11&lt;=($G11+1),"LD",IF($D11&lt;=($G11+7),"L","NS"))))</f>
        <v>S</v>
      </c>
      <c r="G11" s="1">
        <f t="shared" si="2"/>
        <v>44697.5</v>
      </c>
      <c r="J11" s="39"/>
      <c r="K11" s="39"/>
      <c r="L11" s="39"/>
      <c r="M11" s="40"/>
      <c r="N11" s="39"/>
      <c r="O11" s="39"/>
      <c r="P11" s="39"/>
    </row>
    <row r="12" spans="1:16" x14ac:dyDescent="0.35">
      <c r="A12">
        <f>class_list!A10</f>
        <v>0</v>
      </c>
      <c r="B12">
        <f>class_list!B10</f>
        <v>0</v>
      </c>
      <c r="C12" t="e">
        <f t="shared" ca="1" si="0"/>
        <v>#REF!</v>
      </c>
      <c r="D12" s="1">
        <v>44697.458333333336</v>
      </c>
      <c r="E12" s="2" t="str">
        <f t="shared" si="1"/>
        <v>S</v>
      </c>
      <c r="G12" s="1">
        <f t="shared" si="2"/>
        <v>44697.5</v>
      </c>
      <c r="J12" s="39" t="s">
        <v>79</v>
      </c>
      <c r="K12" s="39"/>
      <c r="L12" s="39" t="s">
        <v>15</v>
      </c>
      <c r="M12" s="40">
        <f>COUNTIF(E4:E64,"NS")</f>
        <v>16</v>
      </c>
      <c r="N12" s="39"/>
      <c r="O12" s="39"/>
      <c r="P12" s="39"/>
    </row>
    <row r="13" spans="1:16" x14ac:dyDescent="0.35">
      <c r="A13">
        <f>class_list!A11</f>
        <v>0</v>
      </c>
      <c r="B13">
        <f>class_list!B11</f>
        <v>0</v>
      </c>
      <c r="C13" t="e">
        <f t="shared" ca="1" si="0"/>
        <v>#REF!</v>
      </c>
      <c r="D13" s="1">
        <v>44697.458333333336</v>
      </c>
      <c r="E13" s="2" t="str">
        <f t="shared" si="1"/>
        <v>S</v>
      </c>
      <c r="G13" s="1">
        <f t="shared" si="2"/>
        <v>44697.5</v>
      </c>
      <c r="J13" s="39"/>
      <c r="K13" s="39"/>
      <c r="L13" s="39" t="s">
        <v>17</v>
      </c>
      <c r="M13" s="40">
        <f>COUNTIF(E4:E64,"L")</f>
        <v>1</v>
      </c>
      <c r="N13" s="39"/>
      <c r="O13" s="39"/>
      <c r="P13" s="39"/>
    </row>
    <row r="14" spans="1:16" x14ac:dyDescent="0.35">
      <c r="A14">
        <f>class_list!A12</f>
        <v>0</v>
      </c>
      <c r="B14">
        <f>class_list!B12</f>
        <v>0</v>
      </c>
      <c r="C14" t="e">
        <f t="shared" ca="1" si="0"/>
        <v>#REF!</v>
      </c>
      <c r="D14" s="1">
        <v>44697.458333333336</v>
      </c>
      <c r="E14" s="2" t="str">
        <f t="shared" si="1"/>
        <v>S</v>
      </c>
      <c r="G14" s="1">
        <f t="shared" si="2"/>
        <v>44697.5</v>
      </c>
      <c r="J14" s="39"/>
      <c r="K14" s="39"/>
      <c r="L14" s="39" t="s">
        <v>16</v>
      </c>
      <c r="M14" s="40">
        <f>COUNTIF(E4:E64,"LD")</f>
        <v>0</v>
      </c>
      <c r="N14" s="39"/>
      <c r="O14" s="39"/>
      <c r="P14" s="39"/>
    </row>
    <row r="15" spans="1:16" x14ac:dyDescent="0.35">
      <c r="A15">
        <f>class_list!A13</f>
        <v>0</v>
      </c>
      <c r="B15">
        <f>class_list!B13</f>
        <v>0</v>
      </c>
      <c r="C15" t="e">
        <f t="shared" ca="1" si="0"/>
        <v>#REF!</v>
      </c>
      <c r="D15" s="1">
        <v>44697.458333333336</v>
      </c>
      <c r="E15" s="2" t="str">
        <f t="shared" si="1"/>
        <v>S</v>
      </c>
      <c r="G15" s="1">
        <f t="shared" si="2"/>
        <v>44697.5</v>
      </c>
      <c r="J15" s="39"/>
      <c r="K15" s="39"/>
      <c r="L15" s="39" t="s">
        <v>14</v>
      </c>
      <c r="M15" s="40">
        <f>L1-SUM(M12:M14)</f>
        <v>-11</v>
      </c>
      <c r="N15" s="39"/>
      <c r="O15" s="39"/>
      <c r="P15" s="39"/>
    </row>
    <row r="16" spans="1:16" x14ac:dyDescent="0.35">
      <c r="A16">
        <f>class_list!A14</f>
        <v>0</v>
      </c>
      <c r="B16">
        <f>class_list!B14</f>
        <v>0</v>
      </c>
      <c r="C16" t="e">
        <f t="shared" ca="1" si="0"/>
        <v>#REF!</v>
      </c>
      <c r="D16" s="1">
        <v>44697.458333333336</v>
      </c>
      <c r="E16" s="2" t="str">
        <f t="shared" si="1"/>
        <v>S</v>
      </c>
      <c r="G16" s="1">
        <f t="shared" si="2"/>
        <v>44697.5</v>
      </c>
      <c r="J16" s="39"/>
      <c r="K16" s="39"/>
      <c r="L16" s="39" t="s">
        <v>84</v>
      </c>
      <c r="M16" s="39">
        <f>SUM(M12:M15)</f>
        <v>6</v>
      </c>
      <c r="N16" s="39"/>
      <c r="O16" s="39"/>
      <c r="P16" s="39"/>
    </row>
    <row r="17" spans="1:16" x14ac:dyDescent="0.35">
      <c r="A17">
        <f>class_list!A15</f>
        <v>0</v>
      </c>
      <c r="B17">
        <f>class_list!B15</f>
        <v>0</v>
      </c>
      <c r="C17" t="e">
        <f t="shared" ca="1" si="0"/>
        <v>#REF!</v>
      </c>
      <c r="D17" s="1">
        <v>44703.458333333336</v>
      </c>
      <c r="E17" s="2" t="str">
        <f t="shared" si="1"/>
        <v>S</v>
      </c>
      <c r="F17" s="1">
        <v>44704.5</v>
      </c>
      <c r="G17" s="1">
        <f t="shared" si="2"/>
        <v>44704.5</v>
      </c>
      <c r="J17" s="39"/>
      <c r="K17" s="39"/>
      <c r="L17" s="39"/>
      <c r="M17" s="39"/>
      <c r="N17" s="39"/>
      <c r="O17" s="39"/>
      <c r="P17" s="39"/>
    </row>
    <row r="18" spans="1:16" x14ac:dyDescent="0.35">
      <c r="A18">
        <f>class_list!A16</f>
        <v>0</v>
      </c>
      <c r="B18">
        <f>class_list!B16</f>
        <v>0</v>
      </c>
      <c r="C18" t="e">
        <f t="shared" ca="1" si="0"/>
        <v>#REF!</v>
      </c>
      <c r="D18" s="1">
        <v>44697.458333333336</v>
      </c>
      <c r="E18" s="2" t="str">
        <f t="shared" si="1"/>
        <v>S</v>
      </c>
      <c r="G18" s="1">
        <f t="shared" si="2"/>
        <v>44697.5</v>
      </c>
      <c r="J18" s="39"/>
      <c r="K18" s="39"/>
      <c r="L18" s="39"/>
      <c r="M18" s="39"/>
      <c r="N18" s="39"/>
      <c r="O18" s="39"/>
      <c r="P18" s="39"/>
    </row>
    <row r="19" spans="1:16" x14ac:dyDescent="0.35">
      <c r="A19">
        <f>class_list!A17</f>
        <v>0</v>
      </c>
      <c r="B19">
        <f>class_list!B17</f>
        <v>0</v>
      </c>
      <c r="C19" t="e">
        <f t="shared" ca="1" si="0"/>
        <v>#REF!</v>
      </c>
      <c r="D19" s="1">
        <v>44697.458333333336</v>
      </c>
      <c r="E19" s="2" t="str">
        <f t="shared" si="1"/>
        <v>S</v>
      </c>
      <c r="G19" s="1">
        <f t="shared" si="2"/>
        <v>44697.5</v>
      </c>
      <c r="J19" s="39"/>
      <c r="K19" s="39"/>
      <c r="L19" s="39"/>
      <c r="M19" s="39"/>
      <c r="N19" s="39"/>
      <c r="O19" s="39"/>
      <c r="P19" s="39"/>
    </row>
    <row r="20" spans="1:16" x14ac:dyDescent="0.35">
      <c r="A20">
        <f>class_list!A18</f>
        <v>0</v>
      </c>
      <c r="B20">
        <f>class_list!B18</f>
        <v>0</v>
      </c>
      <c r="C20" t="e">
        <f t="shared" ca="1" si="0"/>
        <v>#REF!</v>
      </c>
      <c r="D20" s="1">
        <v>44697.458333333336</v>
      </c>
      <c r="E20" s="2" t="str">
        <f t="shared" si="1"/>
        <v>S</v>
      </c>
      <c r="G20" s="1">
        <f t="shared" si="2"/>
        <v>44697.5</v>
      </c>
      <c r="J20" s="39"/>
      <c r="K20" s="39"/>
      <c r="L20" s="39"/>
      <c r="M20" s="39"/>
      <c r="N20" s="39"/>
      <c r="O20" s="39"/>
      <c r="P20" s="39"/>
    </row>
    <row r="21" spans="1:16" x14ac:dyDescent="0.35">
      <c r="A21">
        <f>class_list!A19</f>
        <v>0</v>
      </c>
      <c r="B21">
        <f>class_list!B19</f>
        <v>0</v>
      </c>
      <c r="C21" t="e">
        <f t="shared" ca="1" si="0"/>
        <v>#REF!</v>
      </c>
      <c r="D21" s="1">
        <v>44697.458333333336</v>
      </c>
      <c r="E21" s="2" t="str">
        <f t="shared" si="1"/>
        <v>S</v>
      </c>
      <c r="G21" s="1">
        <f t="shared" si="2"/>
        <v>44697.5</v>
      </c>
      <c r="J21" s="39"/>
      <c r="K21" s="39"/>
      <c r="L21" s="39"/>
      <c r="M21" s="39"/>
      <c r="N21" s="39"/>
      <c r="O21" s="39"/>
      <c r="P21" s="39"/>
    </row>
    <row r="22" spans="1:16" x14ac:dyDescent="0.35">
      <c r="A22">
        <f>class_list!A20</f>
        <v>0</v>
      </c>
      <c r="B22">
        <f>class_list!B20</f>
        <v>0</v>
      </c>
      <c r="C22" t="e">
        <f t="shared" ca="1" si="0"/>
        <v>#REF!</v>
      </c>
      <c r="D22" s="1">
        <v>44697.458333333336</v>
      </c>
      <c r="E22" s="2" t="str">
        <f t="shared" si="1"/>
        <v>S</v>
      </c>
      <c r="G22" s="1">
        <f t="shared" si="2"/>
        <v>44697.5</v>
      </c>
      <c r="J22" s="39"/>
      <c r="K22" s="39"/>
      <c r="L22" s="39"/>
      <c r="M22" s="39"/>
      <c r="N22" s="39"/>
      <c r="O22" s="39"/>
      <c r="P22" s="39"/>
    </row>
    <row r="23" spans="1:16" x14ac:dyDescent="0.35">
      <c r="A23">
        <f>class_list!A21</f>
        <v>0</v>
      </c>
      <c r="B23">
        <f>class_list!B21</f>
        <v>0</v>
      </c>
      <c r="C23" t="e">
        <f t="shared" ca="1" si="0"/>
        <v>#REF!</v>
      </c>
      <c r="D23" s="1">
        <v>44703.458333333336</v>
      </c>
      <c r="E23" s="2" t="str">
        <f t="shared" si="1"/>
        <v>S</v>
      </c>
      <c r="F23" s="1">
        <v>44704.5</v>
      </c>
      <c r="G23" s="1">
        <f t="shared" si="2"/>
        <v>44704.5</v>
      </c>
      <c r="J23" s="39"/>
      <c r="K23" s="39"/>
      <c r="L23" s="39"/>
      <c r="M23" s="39"/>
      <c r="N23" s="39"/>
      <c r="O23" s="39"/>
      <c r="P23" s="39"/>
    </row>
    <row r="24" spans="1:16" x14ac:dyDescent="0.35">
      <c r="A24">
        <f>class_list!A22</f>
        <v>0</v>
      </c>
      <c r="B24">
        <f>class_list!B22</f>
        <v>0</v>
      </c>
      <c r="C24" t="e">
        <f t="shared" ca="1" si="0"/>
        <v>#REF!</v>
      </c>
      <c r="D24" s="1">
        <v>44697.458333333336</v>
      </c>
      <c r="E24" s="2" t="str">
        <f t="shared" si="1"/>
        <v>S</v>
      </c>
      <c r="G24" s="1">
        <f t="shared" si="2"/>
        <v>44697.5</v>
      </c>
      <c r="J24" s="39"/>
      <c r="K24" s="39"/>
      <c r="L24" s="39"/>
      <c r="M24" s="39"/>
      <c r="N24" s="39"/>
      <c r="O24" s="39"/>
      <c r="P24" s="39"/>
    </row>
    <row r="25" spans="1:16" x14ac:dyDescent="0.35">
      <c r="A25">
        <f>class_list!A23</f>
        <v>0</v>
      </c>
      <c r="B25">
        <f>class_list!B23</f>
        <v>0</v>
      </c>
      <c r="C25" t="e">
        <f t="shared" ca="1" si="0"/>
        <v>#REF!</v>
      </c>
      <c r="D25" s="1">
        <v>44697.458333333336</v>
      </c>
      <c r="E25" s="2" t="str">
        <f t="shared" si="1"/>
        <v>S</v>
      </c>
      <c r="G25" s="1">
        <f t="shared" si="2"/>
        <v>44697.5</v>
      </c>
      <c r="J25" s="39"/>
      <c r="K25" s="39"/>
      <c r="L25" s="39"/>
      <c r="M25" s="39"/>
      <c r="N25" s="39"/>
      <c r="O25" s="39"/>
      <c r="P25" s="39"/>
    </row>
    <row r="26" spans="1:16" x14ac:dyDescent="0.35">
      <c r="A26">
        <f>class_list!A24</f>
        <v>0</v>
      </c>
      <c r="B26">
        <f>class_list!B24</f>
        <v>0</v>
      </c>
      <c r="C26" t="e">
        <f t="shared" ca="1" si="0"/>
        <v>#REF!</v>
      </c>
      <c r="D26" s="1">
        <v>44697.458333333336</v>
      </c>
      <c r="E26" s="2" t="str">
        <f t="shared" si="1"/>
        <v>S</v>
      </c>
      <c r="G26" s="1">
        <f t="shared" si="2"/>
        <v>44697.5</v>
      </c>
      <c r="J26" s="39"/>
      <c r="K26" s="39"/>
      <c r="L26" s="39"/>
      <c r="M26" s="39"/>
      <c r="N26" s="39"/>
      <c r="O26" s="39"/>
      <c r="P26" s="39"/>
    </row>
    <row r="27" spans="1:16" x14ac:dyDescent="0.35">
      <c r="A27">
        <f>class_list!A25</f>
        <v>0</v>
      </c>
      <c r="B27">
        <f>class_list!B25</f>
        <v>0</v>
      </c>
      <c r="C27" t="e">
        <f t="shared" ca="1" si="0"/>
        <v>#REF!</v>
      </c>
      <c r="D27" s="1">
        <v>44697.458333333336</v>
      </c>
      <c r="E27" s="2" t="str">
        <f t="shared" si="1"/>
        <v>S</v>
      </c>
      <c r="G27" s="1">
        <f t="shared" si="2"/>
        <v>44697.5</v>
      </c>
      <c r="J27" s="39"/>
      <c r="K27" s="39"/>
      <c r="L27" s="39"/>
      <c r="M27" s="39"/>
      <c r="N27" s="39"/>
      <c r="O27" s="39"/>
      <c r="P27" s="39"/>
    </row>
    <row r="28" spans="1:16" x14ac:dyDescent="0.35">
      <c r="A28">
        <f>class_list!A26</f>
        <v>0</v>
      </c>
      <c r="B28">
        <f>class_list!B26</f>
        <v>0</v>
      </c>
      <c r="C28" t="e">
        <f t="shared" ca="1" si="0"/>
        <v>#REF!</v>
      </c>
      <c r="D28" s="1">
        <v>44697.458333333336</v>
      </c>
      <c r="E28" s="2" t="str">
        <f t="shared" si="1"/>
        <v>S</v>
      </c>
      <c r="G28" s="1">
        <f t="shared" si="2"/>
        <v>44697.5</v>
      </c>
      <c r="J28" s="39"/>
      <c r="K28" s="39"/>
      <c r="L28" s="39"/>
      <c r="M28" s="39"/>
      <c r="N28" s="39"/>
      <c r="O28" s="39"/>
      <c r="P28" s="39"/>
    </row>
    <row r="29" spans="1:16" x14ac:dyDescent="0.35">
      <c r="A29">
        <f>class_list!A27</f>
        <v>0</v>
      </c>
      <c r="B29">
        <f>class_list!B27</f>
        <v>0</v>
      </c>
      <c r="C29" t="e">
        <f t="shared" ca="1" si="0"/>
        <v>#REF!</v>
      </c>
      <c r="D29" s="1">
        <v>44697.458333333336</v>
      </c>
      <c r="E29" s="2" t="str">
        <f t="shared" si="1"/>
        <v>S</v>
      </c>
      <c r="G29" s="1">
        <f t="shared" si="2"/>
        <v>44697.5</v>
      </c>
      <c r="J29" s="39"/>
      <c r="K29" s="39"/>
      <c r="L29" s="39"/>
      <c r="M29" s="39"/>
      <c r="N29" s="39"/>
      <c r="O29" s="39"/>
      <c r="P29" s="39"/>
    </row>
    <row r="30" spans="1:16" x14ac:dyDescent="0.35">
      <c r="A30">
        <f>class_list!A28</f>
        <v>0</v>
      </c>
      <c r="B30">
        <f>class_list!B28</f>
        <v>0</v>
      </c>
      <c r="C30" t="e">
        <f t="shared" ca="1" si="0"/>
        <v>#REF!</v>
      </c>
      <c r="D30" s="1">
        <v>44697.458333333336</v>
      </c>
      <c r="E30" s="2" t="str">
        <f t="shared" si="1"/>
        <v>S</v>
      </c>
      <c r="G30" s="1">
        <f t="shared" si="2"/>
        <v>44697.5</v>
      </c>
      <c r="J30" s="39"/>
      <c r="K30" s="39"/>
      <c r="L30" s="39"/>
      <c r="M30" s="39"/>
      <c r="N30" s="39"/>
      <c r="O30" s="39"/>
      <c r="P30" s="39"/>
    </row>
    <row r="31" spans="1:16" x14ac:dyDescent="0.35">
      <c r="A31">
        <f>class_list!A29</f>
        <v>0</v>
      </c>
      <c r="B31">
        <f>class_list!B29</f>
        <v>0</v>
      </c>
      <c r="C31" t="e">
        <f t="shared" ca="1" si="0"/>
        <v>#REF!</v>
      </c>
      <c r="D31" s="1">
        <v>44697.458333333336</v>
      </c>
      <c r="E31" s="2" t="str">
        <f t="shared" si="1"/>
        <v>S</v>
      </c>
      <c r="G31" s="1">
        <f t="shared" si="2"/>
        <v>44697.5</v>
      </c>
      <c r="J31" s="39"/>
      <c r="K31" s="39"/>
      <c r="L31" s="39"/>
      <c r="M31" s="39"/>
      <c r="N31" s="39"/>
      <c r="O31" s="39"/>
      <c r="P31" s="39"/>
    </row>
    <row r="32" spans="1:16" x14ac:dyDescent="0.35">
      <c r="A32">
        <f>class_list!A30</f>
        <v>0</v>
      </c>
      <c r="B32">
        <f>class_list!B30</f>
        <v>0</v>
      </c>
      <c r="C32" t="e">
        <f t="shared" ca="1" si="0"/>
        <v>#REF!</v>
      </c>
      <c r="D32" s="1">
        <v>44697.458333333336</v>
      </c>
      <c r="E32" s="2" t="str">
        <f t="shared" si="1"/>
        <v>S</v>
      </c>
      <c r="G32" s="1">
        <f t="shared" si="2"/>
        <v>44697.5</v>
      </c>
      <c r="J32" s="39"/>
      <c r="K32" s="39"/>
      <c r="L32" s="39"/>
      <c r="M32" s="39"/>
      <c r="N32" s="39"/>
      <c r="O32" s="39"/>
      <c r="P32" s="39"/>
    </row>
    <row r="33" spans="1:16" x14ac:dyDescent="0.35">
      <c r="A33">
        <f>class_list!A31</f>
        <v>0</v>
      </c>
      <c r="B33">
        <f>class_list!B31</f>
        <v>0</v>
      </c>
      <c r="C33" t="e">
        <f t="shared" ca="1" si="0"/>
        <v>#REF!</v>
      </c>
      <c r="D33" s="1">
        <v>44697.458333333336</v>
      </c>
      <c r="E33" s="2" t="str">
        <f t="shared" si="1"/>
        <v>S</v>
      </c>
      <c r="G33" s="1">
        <f t="shared" si="2"/>
        <v>44697.5</v>
      </c>
      <c r="J33" s="39"/>
      <c r="K33" s="39"/>
      <c r="L33" s="39"/>
      <c r="M33" s="39"/>
      <c r="N33" s="39"/>
      <c r="O33" s="39"/>
      <c r="P33" s="39"/>
    </row>
    <row r="34" spans="1:16" x14ac:dyDescent="0.35">
      <c r="A34">
        <f>class_list!A32</f>
        <v>0</v>
      </c>
      <c r="B34">
        <f>class_list!B32</f>
        <v>0</v>
      </c>
      <c r="C34" t="e">
        <f t="shared" ca="1" si="0"/>
        <v>#REF!</v>
      </c>
      <c r="D34" s="1">
        <v>44697.458333333336</v>
      </c>
      <c r="E34" s="2" t="str">
        <f t="shared" si="1"/>
        <v>S</v>
      </c>
      <c r="G34" s="1">
        <f t="shared" si="2"/>
        <v>44697.5</v>
      </c>
      <c r="J34" s="39"/>
      <c r="K34" s="39"/>
      <c r="L34" s="39"/>
      <c r="M34" s="39"/>
      <c r="N34" s="39"/>
      <c r="O34" s="39"/>
      <c r="P34" s="39"/>
    </row>
    <row r="35" spans="1:16" x14ac:dyDescent="0.35">
      <c r="A35">
        <f>class_list!A33</f>
        <v>0</v>
      </c>
      <c r="B35">
        <f>class_list!B33</f>
        <v>0</v>
      </c>
      <c r="C35" t="e">
        <f t="shared" ca="1" si="0"/>
        <v>#REF!</v>
      </c>
      <c r="D35" s="1">
        <v>44697.458333333336</v>
      </c>
      <c r="E35" s="2" t="str">
        <f t="shared" si="1"/>
        <v>S</v>
      </c>
      <c r="G35" s="1">
        <f t="shared" si="2"/>
        <v>44697.5</v>
      </c>
      <c r="J35" s="39"/>
      <c r="K35" s="39"/>
      <c r="L35" s="39"/>
      <c r="M35" s="39"/>
      <c r="N35" s="39"/>
      <c r="O35" s="39"/>
      <c r="P35" s="39"/>
    </row>
    <row r="36" spans="1:16" x14ac:dyDescent="0.35">
      <c r="A36">
        <f>class_list!A34</f>
        <v>0</v>
      </c>
      <c r="B36">
        <f>class_list!B34</f>
        <v>0</v>
      </c>
      <c r="C36" t="e">
        <f t="shared" ca="1" si="0"/>
        <v>#REF!</v>
      </c>
      <c r="D36" s="1">
        <v>44697.458333333336</v>
      </c>
      <c r="E36" s="2" t="str">
        <f t="shared" si="1"/>
        <v>S</v>
      </c>
      <c r="G36" s="1">
        <f t="shared" si="2"/>
        <v>44697.5</v>
      </c>
      <c r="J36" s="39"/>
      <c r="K36" s="39"/>
      <c r="L36" s="39"/>
      <c r="M36" s="39"/>
      <c r="N36" s="39"/>
      <c r="O36" s="39"/>
      <c r="P36" s="39"/>
    </row>
    <row r="37" spans="1:16" x14ac:dyDescent="0.35">
      <c r="A37">
        <f>class_list!A35</f>
        <v>0</v>
      </c>
      <c r="B37">
        <f>class_list!B35</f>
        <v>0</v>
      </c>
      <c r="C37" t="e">
        <f t="shared" ca="1" si="0"/>
        <v>#REF!</v>
      </c>
      <c r="D37" s="1">
        <v>44697.458333333336</v>
      </c>
      <c r="E37" s="2" t="str">
        <f t="shared" si="1"/>
        <v>S</v>
      </c>
      <c r="G37" s="1">
        <f t="shared" si="2"/>
        <v>44697.5</v>
      </c>
      <c r="J37" s="39"/>
      <c r="K37" s="39"/>
      <c r="L37" s="39"/>
      <c r="M37" s="39"/>
      <c r="N37" s="39"/>
      <c r="O37" s="39"/>
      <c r="P37" s="39"/>
    </row>
    <row r="38" spans="1:16" x14ac:dyDescent="0.35">
      <c r="A38">
        <f>class_list!A36</f>
        <v>0</v>
      </c>
      <c r="B38">
        <f>class_list!B36</f>
        <v>0</v>
      </c>
      <c r="C38" t="e">
        <f t="shared" ca="1" si="0"/>
        <v>#REF!</v>
      </c>
      <c r="D38" s="1">
        <v>44697.458333333336</v>
      </c>
      <c r="E38" s="2" t="str">
        <f t="shared" si="1"/>
        <v>S</v>
      </c>
      <c r="G38" s="1">
        <f t="shared" si="2"/>
        <v>44697.5</v>
      </c>
      <c r="J38" s="39"/>
      <c r="K38" s="39"/>
      <c r="L38" s="39"/>
      <c r="M38" s="39"/>
      <c r="N38" s="39"/>
      <c r="O38" s="39"/>
      <c r="P38" s="39"/>
    </row>
    <row r="39" spans="1:16" x14ac:dyDescent="0.35">
      <c r="A39">
        <f>class_list!A37</f>
        <v>0</v>
      </c>
      <c r="B39">
        <f>class_list!B37</f>
        <v>0</v>
      </c>
      <c r="C39" t="e">
        <f t="shared" ca="1" si="0"/>
        <v>#REF!</v>
      </c>
      <c r="D39" s="1">
        <v>44697.458333333336</v>
      </c>
      <c r="E39" s="2" t="str">
        <f t="shared" si="1"/>
        <v>S</v>
      </c>
      <c r="G39" s="1">
        <f t="shared" si="2"/>
        <v>44697.5</v>
      </c>
      <c r="J39" s="39"/>
      <c r="K39" s="39"/>
      <c r="L39" s="39"/>
      <c r="M39" s="39"/>
      <c r="N39" s="39"/>
      <c r="O39" s="39"/>
      <c r="P39" s="39"/>
    </row>
    <row r="40" spans="1:16" x14ac:dyDescent="0.35">
      <c r="A40">
        <f>class_list!A38</f>
        <v>0</v>
      </c>
      <c r="B40">
        <f>class_list!B38</f>
        <v>0</v>
      </c>
      <c r="C40" t="e">
        <f t="shared" ca="1" si="0"/>
        <v>#REF!</v>
      </c>
      <c r="D40" s="1">
        <v>44697.458333333336</v>
      </c>
      <c r="E40" s="2" t="str">
        <f t="shared" si="1"/>
        <v>S</v>
      </c>
      <c r="G40" s="1">
        <f t="shared" si="2"/>
        <v>44697.5</v>
      </c>
      <c r="J40" s="39"/>
      <c r="K40" s="39"/>
      <c r="L40" s="39"/>
      <c r="M40" s="39"/>
      <c r="N40" s="39"/>
      <c r="O40" s="39"/>
      <c r="P40" s="39"/>
    </row>
    <row r="41" spans="1:16" x14ac:dyDescent="0.35">
      <c r="A41">
        <f>class_list!A39</f>
        <v>0</v>
      </c>
      <c r="B41">
        <f>class_list!B39</f>
        <v>0</v>
      </c>
      <c r="C41" t="e">
        <f t="shared" ca="1" si="0"/>
        <v>#REF!</v>
      </c>
      <c r="D41" s="1">
        <v>44697.458333333336</v>
      </c>
      <c r="E41" s="2" t="str">
        <f t="shared" si="1"/>
        <v>S</v>
      </c>
      <c r="G41" s="1">
        <f t="shared" si="2"/>
        <v>44697.5</v>
      </c>
      <c r="J41" s="39"/>
      <c r="K41" s="39"/>
      <c r="L41" s="39"/>
      <c r="M41" s="39"/>
      <c r="N41" s="39"/>
      <c r="O41" s="39"/>
      <c r="P41" s="39"/>
    </row>
    <row r="42" spans="1:16" x14ac:dyDescent="0.35">
      <c r="A42">
        <f>class_list!A40</f>
        <v>0</v>
      </c>
      <c r="B42">
        <f>class_list!B40</f>
        <v>0</v>
      </c>
      <c r="C42" t="e">
        <f t="shared" ca="1" si="0"/>
        <v>#REF!</v>
      </c>
      <c r="D42" s="1">
        <v>44697.458333333336</v>
      </c>
      <c r="E42" s="2" t="str">
        <f t="shared" si="1"/>
        <v>S</v>
      </c>
      <c r="G42" s="1">
        <f t="shared" si="2"/>
        <v>44697.5</v>
      </c>
      <c r="J42" s="39"/>
      <c r="K42" s="39"/>
      <c r="L42" s="39"/>
      <c r="M42" s="39"/>
      <c r="N42" s="39"/>
      <c r="O42" s="39"/>
      <c r="P42" s="39"/>
    </row>
    <row r="43" spans="1:16" x14ac:dyDescent="0.35">
      <c r="A43">
        <f>class_list!A41</f>
        <v>0</v>
      </c>
      <c r="B43">
        <f>class_list!B41</f>
        <v>0</v>
      </c>
      <c r="C43" t="e">
        <f t="shared" ca="1" si="0"/>
        <v>#REF!</v>
      </c>
      <c r="D43" s="1">
        <v>44698.458333333336</v>
      </c>
      <c r="E43" s="2" t="str">
        <f t="shared" si="1"/>
        <v>S</v>
      </c>
      <c r="F43" s="1">
        <v>44704.5</v>
      </c>
      <c r="G43" s="1">
        <f t="shared" si="2"/>
        <v>44704.5</v>
      </c>
      <c r="J43" s="39"/>
      <c r="K43" s="39"/>
      <c r="L43" s="39"/>
      <c r="M43" s="39"/>
      <c r="N43" s="39"/>
      <c r="O43" s="39"/>
      <c r="P43" s="39"/>
    </row>
    <row r="44" spans="1:16" x14ac:dyDescent="0.35">
      <c r="A44">
        <f>class_list!A42</f>
        <v>0</v>
      </c>
      <c r="B44">
        <f>class_list!B42</f>
        <v>0</v>
      </c>
      <c r="C44" t="e">
        <f t="shared" ca="1" si="0"/>
        <v>#REF!</v>
      </c>
      <c r="E44" s="2" t="str">
        <f t="shared" si="1"/>
        <v>NS</v>
      </c>
      <c r="G44" s="1">
        <f t="shared" si="2"/>
        <v>44697.5</v>
      </c>
      <c r="J44" s="39"/>
      <c r="K44" s="39"/>
      <c r="L44" s="39"/>
      <c r="M44" s="39"/>
      <c r="N44" s="39"/>
      <c r="O44" s="39"/>
      <c r="P44" s="39"/>
    </row>
    <row r="45" spans="1:16" x14ac:dyDescent="0.35">
      <c r="A45">
        <f>class_list!A43</f>
        <v>0</v>
      </c>
      <c r="B45">
        <f>class_list!B43</f>
        <v>0</v>
      </c>
      <c r="C45" t="e">
        <f t="shared" ca="1" si="0"/>
        <v>#REF!</v>
      </c>
      <c r="E45" s="2" t="str">
        <f t="shared" si="1"/>
        <v>NS</v>
      </c>
      <c r="G45" s="1">
        <f t="shared" si="2"/>
        <v>44697.5</v>
      </c>
      <c r="J45" s="39"/>
      <c r="K45" s="39"/>
      <c r="L45" s="39"/>
      <c r="M45" s="39"/>
      <c r="N45" s="39"/>
      <c r="O45" s="39"/>
      <c r="P45" s="39"/>
    </row>
    <row r="46" spans="1:16" x14ac:dyDescent="0.35">
      <c r="A46">
        <f>class_list!A44</f>
        <v>0</v>
      </c>
      <c r="B46">
        <f>class_list!B44</f>
        <v>0</v>
      </c>
      <c r="C46" t="e">
        <f t="shared" ca="1" si="0"/>
        <v>#REF!</v>
      </c>
      <c r="E46" s="2" t="str">
        <f t="shared" si="1"/>
        <v>NS</v>
      </c>
      <c r="G46" s="1">
        <f t="shared" si="2"/>
        <v>44697.5</v>
      </c>
      <c r="J46" s="39"/>
      <c r="K46" s="39"/>
      <c r="L46" s="39"/>
      <c r="M46" s="39"/>
      <c r="N46" s="39"/>
      <c r="O46" s="39"/>
      <c r="P46" s="39"/>
    </row>
    <row r="47" spans="1:16" x14ac:dyDescent="0.35">
      <c r="A47">
        <f>class_list!A45</f>
        <v>0</v>
      </c>
      <c r="B47">
        <f>class_list!B45</f>
        <v>0</v>
      </c>
      <c r="C47" t="e">
        <f t="shared" ca="1" si="0"/>
        <v>#REF!</v>
      </c>
      <c r="D47" s="1">
        <v>44718.458333333336</v>
      </c>
      <c r="E47" s="2" t="str">
        <f t="shared" si="1"/>
        <v>L</v>
      </c>
      <c r="F47" s="1">
        <v>44711.5</v>
      </c>
      <c r="G47" s="1">
        <f t="shared" si="2"/>
        <v>44711.5</v>
      </c>
      <c r="J47" s="39"/>
      <c r="K47" s="39"/>
      <c r="L47" s="39"/>
      <c r="M47" s="39"/>
      <c r="N47" s="39"/>
      <c r="O47" s="39"/>
      <c r="P47" s="39"/>
    </row>
    <row r="48" spans="1:16" x14ac:dyDescent="0.35">
      <c r="A48">
        <f>class_list!A46</f>
        <v>0</v>
      </c>
      <c r="B48">
        <f>class_list!B46</f>
        <v>0</v>
      </c>
      <c r="C48" t="e">
        <f t="shared" ca="1" si="0"/>
        <v>#REF!</v>
      </c>
      <c r="E48" s="2" t="str">
        <f t="shared" si="1"/>
        <v>NS</v>
      </c>
      <c r="G48" s="1">
        <f t="shared" si="2"/>
        <v>44697.5</v>
      </c>
      <c r="J48" s="39"/>
      <c r="K48" s="39"/>
      <c r="L48" s="39"/>
      <c r="M48" s="39"/>
      <c r="N48" s="39"/>
      <c r="O48" s="39"/>
      <c r="P48" s="39"/>
    </row>
    <row r="49" spans="1:16" x14ac:dyDescent="0.35">
      <c r="A49">
        <f>class_list!A47</f>
        <v>0</v>
      </c>
      <c r="B49">
        <f>class_list!B47</f>
        <v>0</v>
      </c>
      <c r="C49" t="e">
        <f t="shared" ca="1" si="0"/>
        <v>#REF!</v>
      </c>
      <c r="D49" s="1">
        <v>44717.5</v>
      </c>
      <c r="E49" s="2" t="str">
        <f t="shared" si="1"/>
        <v>S</v>
      </c>
      <c r="F49" s="1">
        <v>44718.5</v>
      </c>
      <c r="G49" s="1">
        <f t="shared" si="2"/>
        <v>44718.5</v>
      </c>
      <c r="J49" s="39"/>
      <c r="K49" s="39"/>
      <c r="L49" s="39"/>
      <c r="M49" s="39"/>
      <c r="N49" s="39"/>
      <c r="O49" s="39"/>
      <c r="P49" s="39"/>
    </row>
    <row r="50" spans="1:16" x14ac:dyDescent="0.35">
      <c r="A50">
        <f>class_list!A48</f>
        <v>0</v>
      </c>
      <c r="B50">
        <f>class_list!B48</f>
        <v>0</v>
      </c>
      <c r="C50" t="e">
        <f t="shared" ca="1" si="0"/>
        <v>#REF!</v>
      </c>
      <c r="E50" s="2" t="str">
        <f t="shared" si="1"/>
        <v>NS</v>
      </c>
      <c r="G50" s="1">
        <f t="shared" si="2"/>
        <v>44697.5</v>
      </c>
      <c r="J50" s="39"/>
      <c r="K50" s="39"/>
      <c r="L50" s="39"/>
      <c r="M50" s="39"/>
      <c r="N50" s="39"/>
      <c r="O50" s="39"/>
      <c r="P50" s="39"/>
    </row>
    <row r="51" spans="1:16" x14ac:dyDescent="0.35">
      <c r="A51">
        <f>class_list!A49</f>
        <v>0</v>
      </c>
      <c r="B51">
        <f>class_list!B49</f>
        <v>0</v>
      </c>
      <c r="C51" t="e">
        <f t="shared" ca="1" si="0"/>
        <v>#REF!</v>
      </c>
      <c r="E51" s="2" t="str">
        <f t="shared" si="1"/>
        <v>NS</v>
      </c>
      <c r="G51" s="1">
        <f t="shared" si="2"/>
        <v>44697.5</v>
      </c>
      <c r="J51" s="39"/>
      <c r="K51" s="39"/>
      <c r="L51" s="39"/>
      <c r="M51" s="39"/>
      <c r="N51" s="39"/>
      <c r="O51" s="39"/>
      <c r="P51" s="39"/>
    </row>
    <row r="52" spans="1:16" x14ac:dyDescent="0.35">
      <c r="A52">
        <f>class_list!A50</f>
        <v>0</v>
      </c>
      <c r="B52">
        <f>class_list!B50</f>
        <v>0</v>
      </c>
      <c r="C52" t="e">
        <f t="shared" ca="1" si="0"/>
        <v>#REF!</v>
      </c>
      <c r="D52" s="1">
        <v>44697.458333333336</v>
      </c>
      <c r="E52" s="2" t="str">
        <f t="shared" si="1"/>
        <v>S</v>
      </c>
      <c r="G52" s="1">
        <f t="shared" si="2"/>
        <v>44697.5</v>
      </c>
      <c r="J52" s="39"/>
      <c r="K52" s="39"/>
      <c r="L52" s="39"/>
      <c r="M52" s="39"/>
      <c r="N52" s="39"/>
      <c r="O52" s="39"/>
      <c r="P52" s="39"/>
    </row>
    <row r="53" spans="1:16" x14ac:dyDescent="0.35">
      <c r="A53">
        <f>class_list!A51</f>
        <v>0</v>
      </c>
      <c r="B53">
        <f>class_list!B51</f>
        <v>0</v>
      </c>
      <c r="C53" t="e">
        <f t="shared" ca="1" si="0"/>
        <v>#REF!</v>
      </c>
      <c r="D53" s="1">
        <v>44697.458333333336</v>
      </c>
      <c r="E53" s="2" t="str">
        <f t="shared" si="1"/>
        <v>S</v>
      </c>
      <c r="G53" s="1">
        <f t="shared" si="2"/>
        <v>44697.5</v>
      </c>
      <c r="J53" s="39"/>
      <c r="K53" s="39"/>
      <c r="L53" s="39"/>
      <c r="M53" s="39"/>
      <c r="N53" s="39"/>
      <c r="O53" s="39"/>
      <c r="P53" s="39"/>
    </row>
    <row r="54" spans="1:16" x14ac:dyDescent="0.35">
      <c r="A54">
        <f>class_list!A52</f>
        <v>0</v>
      </c>
      <c r="B54">
        <f>class_list!B52</f>
        <v>0</v>
      </c>
      <c r="C54" t="e">
        <f t="shared" ca="1" si="0"/>
        <v>#REF!</v>
      </c>
      <c r="D54" s="1">
        <v>44697.458333333336</v>
      </c>
      <c r="E54" s="2" t="str">
        <f t="shared" si="1"/>
        <v>S</v>
      </c>
      <c r="G54" s="1">
        <f t="shared" si="2"/>
        <v>44697.5</v>
      </c>
      <c r="J54" s="39"/>
      <c r="K54" s="39"/>
      <c r="L54" s="39"/>
      <c r="M54" s="39"/>
      <c r="N54" s="39"/>
      <c r="O54" s="39"/>
      <c r="P54" s="39"/>
    </row>
    <row r="55" spans="1:16" x14ac:dyDescent="0.35">
      <c r="A55">
        <f>class_list!A53</f>
        <v>0</v>
      </c>
      <c r="B55">
        <f>class_list!B53</f>
        <v>0</v>
      </c>
      <c r="C55" t="e">
        <f t="shared" ca="1" si="0"/>
        <v>#REF!</v>
      </c>
      <c r="E55" s="2" t="str">
        <f t="shared" si="1"/>
        <v>NS</v>
      </c>
      <c r="G55" s="1">
        <f t="shared" si="2"/>
        <v>44697.5</v>
      </c>
      <c r="J55" s="39"/>
      <c r="K55" s="39"/>
      <c r="L55" s="39"/>
      <c r="M55" s="39"/>
      <c r="N55" s="39"/>
      <c r="O55" s="39"/>
      <c r="P55" s="39"/>
    </row>
    <row r="56" spans="1:16" x14ac:dyDescent="0.35">
      <c r="A56">
        <f>class_list!A54</f>
        <v>0</v>
      </c>
      <c r="B56">
        <f>class_list!B54</f>
        <v>0</v>
      </c>
      <c r="C56" t="e">
        <f t="shared" ca="1" si="0"/>
        <v>#REF!</v>
      </c>
      <c r="E56" s="2" t="str">
        <f t="shared" si="1"/>
        <v>NS</v>
      </c>
      <c r="G56" s="1">
        <f t="shared" si="2"/>
        <v>44697.5</v>
      </c>
      <c r="J56" s="39"/>
      <c r="K56" s="39"/>
      <c r="L56" s="39"/>
      <c r="M56" s="39"/>
      <c r="N56" s="39"/>
      <c r="O56" s="39"/>
      <c r="P56" s="39"/>
    </row>
    <row r="57" spans="1:16" x14ac:dyDescent="0.35">
      <c r="A57">
        <f>class_list!A55</f>
        <v>0</v>
      </c>
      <c r="B57">
        <f>class_list!B55</f>
        <v>0</v>
      </c>
      <c r="C57" t="e">
        <f t="shared" ca="1" si="0"/>
        <v>#REF!</v>
      </c>
      <c r="E57" s="2" t="str">
        <f t="shared" si="1"/>
        <v>NS</v>
      </c>
      <c r="G57" s="1">
        <f t="shared" si="2"/>
        <v>44697.5</v>
      </c>
      <c r="J57" s="39"/>
      <c r="K57" s="39"/>
      <c r="L57" s="39"/>
      <c r="M57" s="39"/>
      <c r="N57" s="39"/>
      <c r="O57" s="39"/>
      <c r="P57" s="39"/>
    </row>
    <row r="58" spans="1:16" x14ac:dyDescent="0.35">
      <c r="A58">
        <f>class_list!A56</f>
        <v>0</v>
      </c>
      <c r="B58">
        <f>class_list!B56</f>
        <v>0</v>
      </c>
      <c r="C58" t="e">
        <f t="shared" ca="1" si="0"/>
        <v>#REF!</v>
      </c>
      <c r="E58" s="2" t="str">
        <f t="shared" si="1"/>
        <v>NS</v>
      </c>
      <c r="G58" s="1">
        <f t="shared" si="2"/>
        <v>44697.5</v>
      </c>
      <c r="J58" s="39"/>
      <c r="K58" s="39"/>
      <c r="L58" s="39"/>
      <c r="M58" s="39"/>
      <c r="N58" s="39"/>
      <c r="O58" s="39"/>
      <c r="P58" s="39"/>
    </row>
    <row r="59" spans="1:16" x14ac:dyDescent="0.35">
      <c r="A59">
        <f>class_list!A57</f>
        <v>0</v>
      </c>
      <c r="B59">
        <f>class_list!B57</f>
        <v>0</v>
      </c>
      <c r="C59" t="e">
        <f t="shared" ca="1" si="0"/>
        <v>#REF!</v>
      </c>
      <c r="E59" s="2" t="str">
        <f t="shared" si="1"/>
        <v>NS</v>
      </c>
      <c r="G59" s="1">
        <f t="shared" si="2"/>
        <v>44697.5</v>
      </c>
      <c r="J59" s="39"/>
      <c r="K59" s="39"/>
      <c r="L59" s="39"/>
      <c r="M59" s="39"/>
      <c r="N59" s="39"/>
      <c r="O59" s="39"/>
      <c r="P59" s="39"/>
    </row>
    <row r="60" spans="1:16" x14ac:dyDescent="0.35">
      <c r="A60">
        <f>class_list!A58</f>
        <v>0</v>
      </c>
      <c r="B60">
        <f>class_list!B58</f>
        <v>0</v>
      </c>
      <c r="C60" t="e">
        <f t="shared" ca="1" si="0"/>
        <v>#REF!</v>
      </c>
      <c r="E60" s="2" t="str">
        <f t="shared" si="1"/>
        <v>NS</v>
      </c>
      <c r="G60" s="1">
        <f t="shared" si="2"/>
        <v>44697.5</v>
      </c>
      <c r="J60" s="39"/>
      <c r="K60" s="39"/>
      <c r="L60" s="39"/>
      <c r="M60" s="39"/>
      <c r="N60" s="39"/>
      <c r="O60" s="39"/>
      <c r="P60" s="39"/>
    </row>
    <row r="61" spans="1:16" x14ac:dyDescent="0.35">
      <c r="A61">
        <f>class_list!A59</f>
        <v>0</v>
      </c>
      <c r="B61">
        <f>class_list!B59</f>
        <v>0</v>
      </c>
      <c r="C61" t="e">
        <f t="shared" ca="1" si="0"/>
        <v>#REF!</v>
      </c>
      <c r="E61" s="2" t="str">
        <f t="shared" si="1"/>
        <v>NS</v>
      </c>
      <c r="G61" s="1">
        <f t="shared" si="2"/>
        <v>44697.5</v>
      </c>
      <c r="J61" s="39"/>
      <c r="K61" s="39"/>
      <c r="L61" s="39"/>
      <c r="M61" s="39"/>
      <c r="N61" s="39"/>
      <c r="O61" s="39"/>
      <c r="P61" s="39"/>
    </row>
    <row r="62" spans="1:16" x14ac:dyDescent="0.35">
      <c r="A62">
        <f>class_list!A60</f>
        <v>0</v>
      </c>
      <c r="B62">
        <f>class_list!B60</f>
        <v>0</v>
      </c>
      <c r="C62" t="e">
        <f t="shared" ca="1" si="0"/>
        <v>#REF!</v>
      </c>
      <c r="E62" s="2" t="str">
        <f t="shared" si="1"/>
        <v>NS</v>
      </c>
      <c r="G62" s="1">
        <f t="shared" si="2"/>
        <v>44697.5</v>
      </c>
      <c r="J62" s="39"/>
      <c r="K62" s="39"/>
      <c r="L62" s="39"/>
      <c r="M62" s="39"/>
      <c r="N62" s="39"/>
      <c r="O62" s="39"/>
      <c r="P62" s="39"/>
    </row>
    <row r="63" spans="1:16" x14ac:dyDescent="0.35">
      <c r="A63">
        <f>class_list!A61</f>
        <v>0</v>
      </c>
      <c r="B63">
        <f>class_list!B61</f>
        <v>0</v>
      </c>
      <c r="C63" t="e">
        <f t="shared" ca="1" si="0"/>
        <v>#REF!</v>
      </c>
      <c r="E63" s="2" t="str">
        <f t="shared" si="1"/>
        <v>NS</v>
      </c>
      <c r="G63" s="1">
        <f t="shared" si="2"/>
        <v>44697.5</v>
      </c>
      <c r="J63" s="39"/>
      <c r="K63" s="39"/>
      <c r="L63" s="39"/>
      <c r="M63" s="39"/>
      <c r="N63" s="39"/>
      <c r="O63" s="39"/>
      <c r="P63" s="39"/>
    </row>
    <row r="64" spans="1:16" x14ac:dyDescent="0.35">
      <c r="A64">
        <f>class_list!A62</f>
        <v>0</v>
      </c>
      <c r="B64">
        <f>class_list!B62</f>
        <v>0</v>
      </c>
      <c r="C64" t="e">
        <f t="shared" ca="1" si="0"/>
        <v>#REF!</v>
      </c>
      <c r="E64" s="2" t="str">
        <f t="shared" si="1"/>
        <v>NS</v>
      </c>
      <c r="G64" s="1">
        <f t="shared" si="2"/>
        <v>44697.5</v>
      </c>
      <c r="J64" s="39"/>
      <c r="K64" s="39"/>
      <c r="L64" s="39"/>
      <c r="M64" s="39"/>
      <c r="N64" s="39"/>
      <c r="O64" s="39"/>
      <c r="P64" s="39"/>
    </row>
    <row r="65" spans="1:13" x14ac:dyDescent="0.35">
      <c r="E65" s="2"/>
      <c r="G65" s="1"/>
      <c r="J65" s="39"/>
      <c r="K65" s="39"/>
      <c r="L65" s="39"/>
      <c r="M65" s="39"/>
    </row>
    <row r="66" spans="1:13" x14ac:dyDescent="0.35">
      <c r="A66" t="s">
        <v>76</v>
      </c>
      <c r="D66">
        <f>COUNTIF(D4:D64,"&gt;0")</f>
        <v>45</v>
      </c>
      <c r="E66">
        <f>COUNTIF(E4:E64,"=NS")</f>
        <v>16</v>
      </c>
      <c r="J66" s="39"/>
      <c r="K66" s="39"/>
      <c r="L66" s="39"/>
      <c r="M66" s="39"/>
    </row>
    <row r="67" spans="1:13" x14ac:dyDescent="0.35">
      <c r="J67" s="2"/>
      <c r="K67" s="2"/>
      <c r="L67" s="6"/>
    </row>
    <row r="69" spans="1:13" x14ac:dyDescent="0.35">
      <c r="B69">
        <v>0</v>
      </c>
      <c r="C69">
        <f ca="1">COUNTIF(C4:C64,0)</f>
        <v>0</v>
      </c>
      <c r="D69" t="s">
        <v>14</v>
      </c>
      <c r="E69">
        <f t="shared" ref="E69:E71" si="4">COUNTIF($E$4:$E$64,D69)</f>
        <v>44</v>
      </c>
    </row>
    <row r="70" spans="1:13" x14ac:dyDescent="0.35">
      <c r="B70" s="42" t="s">
        <v>82</v>
      </c>
      <c r="C70">
        <f ca="1">COUNTIF(C4:C64,"&lt;40")-C69</f>
        <v>1</v>
      </c>
      <c r="D70" t="s">
        <v>16</v>
      </c>
      <c r="E70">
        <f t="shared" si="4"/>
        <v>0</v>
      </c>
    </row>
    <row r="71" spans="1:13" x14ac:dyDescent="0.35">
      <c r="B71" s="43" t="s">
        <v>83</v>
      </c>
      <c r="C71">
        <f ca="1">COUNTIF(C4:C64,"&gt;39")</f>
        <v>5</v>
      </c>
      <c r="D71" t="s">
        <v>17</v>
      </c>
      <c r="E71">
        <f t="shared" si="4"/>
        <v>1</v>
      </c>
    </row>
    <row r="72" spans="1:13" x14ac:dyDescent="0.35">
      <c r="C72">
        <f ca="1">SUM(C69:C71)</f>
        <v>6</v>
      </c>
      <c r="D72" t="s">
        <v>15</v>
      </c>
      <c r="E72">
        <f>COUNTIF($E$4:$E$64,D72)</f>
        <v>16</v>
      </c>
    </row>
    <row r="73" spans="1:13" x14ac:dyDescent="0.35">
      <c r="D73" t="s">
        <v>80</v>
      </c>
      <c r="E73">
        <f>SUM(E69:E72)</f>
        <v>61</v>
      </c>
    </row>
    <row r="75" spans="1:13" x14ac:dyDescent="0.35">
      <c r="D75" t="s">
        <v>1</v>
      </c>
      <c r="E75">
        <f>COUNTIF(D4:D64,"&gt;0")</f>
        <v>45</v>
      </c>
    </row>
    <row r="76" spans="1:13" x14ac:dyDescent="0.35">
      <c r="D76" t="s">
        <v>81</v>
      </c>
      <c r="E76">
        <f>COUNTIF(D4:D64,"")</f>
        <v>16</v>
      </c>
    </row>
    <row r="77" spans="1:13" x14ac:dyDescent="0.35">
      <c r="D77" t="s">
        <v>80</v>
      </c>
      <c r="E77">
        <f>E75+E76</f>
        <v>61</v>
      </c>
    </row>
  </sheetData>
  <pageMargins left="0.7" right="0.7" top="0.75" bottom="0.75" header="0.51180555555555496" footer="0.51180555555555496"/>
  <pageSetup paperSize="9" firstPageNumber="0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2:C97"/>
  <sheetViews>
    <sheetView topLeftCell="A41" zoomScaleNormal="100" workbookViewId="0">
      <selection activeCell="Q60" sqref="Q60"/>
    </sheetView>
  </sheetViews>
  <sheetFormatPr defaultRowHeight="14.5" x14ac:dyDescent="0.35"/>
  <cols>
    <col min="1" max="1025" width="9.1796875" customWidth="1"/>
  </cols>
  <sheetData>
    <row r="2" spans="1:2" x14ac:dyDescent="0.35">
      <c r="A2">
        <v>0</v>
      </c>
      <c r="B2">
        <f ca="1">COUNTIF(Full!$C$4:$C$65,"="&amp;A2)</f>
        <v>0</v>
      </c>
    </row>
    <row r="3" spans="1:2" x14ac:dyDescent="0.35">
      <c r="A3">
        <v>5</v>
      </c>
      <c r="B3">
        <f ca="1">COUNTIF(Full!$C$4:$C$65,"&lt;"&amp;A3)-B2</f>
        <v>0</v>
      </c>
    </row>
    <row r="4" spans="1:2" x14ac:dyDescent="0.35">
      <c r="A4">
        <v>10</v>
      </c>
      <c r="B4">
        <f ca="1">COUNTIF(Full!$C$4:$C$65,"&lt;"&amp;A4)-SUM(B$2:B3)</f>
        <v>0</v>
      </c>
    </row>
    <row r="5" spans="1:2" x14ac:dyDescent="0.35">
      <c r="A5">
        <v>15</v>
      </c>
      <c r="B5">
        <f ca="1">COUNTIF(Full!$C$4:$C$65,"&lt;"&amp;A5)-SUM(B$2:B4)</f>
        <v>0</v>
      </c>
    </row>
    <row r="6" spans="1:2" x14ac:dyDescent="0.35">
      <c r="A6">
        <v>20</v>
      </c>
      <c r="B6">
        <f ca="1">COUNTIF(Full!$C$4:$C$65,"&lt;"&amp;A6)-SUM(B$2:B5)</f>
        <v>0</v>
      </c>
    </row>
    <row r="7" spans="1:2" x14ac:dyDescent="0.35">
      <c r="A7">
        <v>25</v>
      </c>
      <c r="B7">
        <f ca="1">COUNTIF(Full!$C$4:$C$65,"&lt;"&amp;A7)-SUM(B$2:B6)</f>
        <v>0</v>
      </c>
    </row>
    <row r="8" spans="1:2" x14ac:dyDescent="0.35">
      <c r="A8">
        <v>30</v>
      </c>
      <c r="B8">
        <f ca="1">COUNTIF(Full!$C$4:$C$65,"&lt;"&amp;A8)-SUM(B$2:B7)</f>
        <v>0</v>
      </c>
    </row>
    <row r="9" spans="1:2" x14ac:dyDescent="0.35">
      <c r="A9">
        <v>35</v>
      </c>
      <c r="B9">
        <f ca="1">COUNTIF(Full!$C$4:$C$65,"&lt;"&amp;A9)-SUM(B$2:B8)</f>
        <v>0</v>
      </c>
    </row>
    <row r="10" spans="1:2" x14ac:dyDescent="0.35">
      <c r="A10">
        <v>40</v>
      </c>
      <c r="B10">
        <f ca="1">COUNTIF(Full!$C$4:$C$65,"&lt;"&amp;A10)-SUM(B$2:B9)</f>
        <v>1</v>
      </c>
    </row>
    <row r="11" spans="1:2" x14ac:dyDescent="0.35">
      <c r="A11">
        <v>45</v>
      </c>
      <c r="B11">
        <f ca="1">COUNTIF(Full!$C$4:$C$65,"&lt;"&amp;A11)-SUM(B$2:B10)</f>
        <v>2</v>
      </c>
    </row>
    <row r="12" spans="1:2" x14ac:dyDescent="0.35">
      <c r="A12">
        <v>50</v>
      </c>
      <c r="B12">
        <f ca="1">COUNTIF(Full!$C$4:$C$65,"&lt;"&amp;A12)-SUM(B$2:B11)</f>
        <v>1</v>
      </c>
    </row>
    <row r="13" spans="1:2" x14ac:dyDescent="0.35">
      <c r="A13">
        <v>55</v>
      </c>
      <c r="B13">
        <f ca="1">COUNTIF(Full!$C$4:$C$65,"&lt;"&amp;A13)-SUM(B$2:B12)</f>
        <v>1</v>
      </c>
    </row>
    <row r="14" spans="1:2" x14ac:dyDescent="0.35">
      <c r="A14">
        <v>60</v>
      </c>
      <c r="B14">
        <f ca="1">COUNTIF(Full!$C$4:$C$65,"&lt;"&amp;A14)-SUM(B$2:B13)</f>
        <v>1</v>
      </c>
    </row>
    <row r="15" spans="1:2" x14ac:dyDescent="0.35">
      <c r="A15">
        <v>65</v>
      </c>
      <c r="B15">
        <f ca="1">COUNTIF(Full!$C$4:$C$65,"&lt;"&amp;A15)-SUM(B$2:B14)</f>
        <v>0</v>
      </c>
    </row>
    <row r="16" spans="1:2" x14ac:dyDescent="0.35">
      <c r="A16">
        <v>70</v>
      </c>
      <c r="B16">
        <f ca="1">COUNTIF(Full!$C$4:$C$65,"&lt;"&amp;A16)-SUM(B$2:B15)</f>
        <v>0</v>
      </c>
    </row>
    <row r="17" spans="1:2" x14ac:dyDescent="0.35">
      <c r="A17">
        <v>75</v>
      </c>
      <c r="B17">
        <f ca="1">COUNTIF(Full!$C$4:$C$65,"&lt;"&amp;A17)-SUM(B$2:B16)</f>
        <v>0</v>
      </c>
    </row>
    <row r="18" spans="1:2" x14ac:dyDescent="0.35">
      <c r="A18">
        <v>80</v>
      </c>
      <c r="B18">
        <f ca="1">COUNTIF(Full!$C$4:$C$65,"&lt;"&amp;A18)-SUM(B$2:B17)</f>
        <v>0</v>
      </c>
    </row>
    <row r="19" spans="1:2" x14ac:dyDescent="0.35">
      <c r="A19">
        <v>85</v>
      </c>
      <c r="B19">
        <f ca="1">COUNTIF(Full!$C$4:$C$65,"&lt;"&amp;A19)-SUM(B$2:B18)</f>
        <v>0</v>
      </c>
    </row>
    <row r="20" spans="1:2" x14ac:dyDescent="0.35">
      <c r="A20">
        <v>90</v>
      </c>
      <c r="B20">
        <f ca="1">COUNTIF(Full!$C$4:$C$65,"&lt;"&amp;A20)-SUM(B$2:B19)</f>
        <v>0</v>
      </c>
    </row>
    <row r="21" spans="1:2" x14ac:dyDescent="0.35">
      <c r="A21">
        <v>95</v>
      </c>
      <c r="B21">
        <f ca="1">COUNTIF(Full!$C$4:$C$65,"&lt;"&amp;A21)-SUM(B$2:B20)</f>
        <v>0</v>
      </c>
    </row>
    <row r="22" spans="1:2" x14ac:dyDescent="0.35">
      <c r="A22">
        <v>100</v>
      </c>
      <c r="B22">
        <f ca="1">COUNTIF(Full!$C$4:$C$65,"&lt;"&amp;A22)-SUM(B$2:B21)</f>
        <v>0</v>
      </c>
    </row>
    <row r="23" spans="1:2" x14ac:dyDescent="0.35">
      <c r="A23">
        <v>105</v>
      </c>
    </row>
    <row r="24" spans="1:2" x14ac:dyDescent="0.35">
      <c r="B24">
        <f ca="1">SUM(B2:B22)</f>
        <v>6</v>
      </c>
    </row>
    <row r="26" spans="1:2" x14ac:dyDescent="0.35">
      <c r="A26">
        <v>0</v>
      </c>
      <c r="B26">
        <f ca="1">COUNTIF(Full!$C$4:$C$65,"="&amp;A26)</f>
        <v>0</v>
      </c>
    </row>
    <row r="27" spans="1:2" x14ac:dyDescent="0.35">
      <c r="A27">
        <v>10</v>
      </c>
      <c r="B27">
        <f ca="1">COUNTIF(Full!$C$4:$C$65,"&lt;"&amp;A27)-B26</f>
        <v>0</v>
      </c>
    </row>
    <row r="28" spans="1:2" x14ac:dyDescent="0.35">
      <c r="A28">
        <v>20</v>
      </c>
      <c r="B28">
        <f ca="1">COUNTIF(Full!$C$4:$C$65,"&lt;"&amp;A28)-SUM(B$26:B27)</f>
        <v>0</v>
      </c>
    </row>
    <row r="29" spans="1:2" x14ac:dyDescent="0.35">
      <c r="A29">
        <v>30</v>
      </c>
      <c r="B29">
        <f ca="1">COUNTIF(Full!$C$4:$C$65,"&lt;"&amp;A29)-SUM(B$26:B28)</f>
        <v>0</v>
      </c>
    </row>
    <row r="30" spans="1:2" x14ac:dyDescent="0.35">
      <c r="A30">
        <v>40</v>
      </c>
      <c r="B30">
        <f ca="1">COUNTIF(Full!$C$4:$C$65,"&lt;"&amp;A30)-SUM(B$26:B29)</f>
        <v>1</v>
      </c>
    </row>
    <row r="31" spans="1:2" x14ac:dyDescent="0.35">
      <c r="A31">
        <v>50</v>
      </c>
      <c r="B31">
        <f ca="1">COUNTIF(Full!$C$4:$C$65,"&lt;"&amp;A31)-SUM(B$26:B30)</f>
        <v>3</v>
      </c>
    </row>
    <row r="32" spans="1:2" x14ac:dyDescent="0.35">
      <c r="A32">
        <v>60</v>
      </c>
      <c r="B32">
        <f ca="1">COUNTIF(Full!$C$4:$C$65,"&lt;"&amp;A32)-SUM(B$26:B31)</f>
        <v>2</v>
      </c>
    </row>
    <row r="33" spans="1:3" x14ac:dyDescent="0.35">
      <c r="A33">
        <v>70</v>
      </c>
      <c r="B33">
        <f ca="1">COUNTIF(Full!$C$4:$C$65,"&lt;"&amp;A33)-SUM(B$26:B32)</f>
        <v>0</v>
      </c>
    </row>
    <row r="34" spans="1:3" x14ac:dyDescent="0.35">
      <c r="A34">
        <v>80</v>
      </c>
      <c r="B34">
        <f ca="1">COUNTIF(Full!$C$4:$C$65,"&lt;"&amp;A34)-SUM(B$26:B33)</f>
        <v>0</v>
      </c>
    </row>
    <row r="35" spans="1:3" x14ac:dyDescent="0.35">
      <c r="A35">
        <v>90</v>
      </c>
      <c r="B35">
        <f ca="1">COUNTIF(Full!$C$4:$C$65,"&lt;"&amp;A35)-SUM(B$26:B34)</f>
        <v>0</v>
      </c>
    </row>
    <row r="36" spans="1:3" x14ac:dyDescent="0.35">
      <c r="A36">
        <v>100</v>
      </c>
      <c r="B36">
        <f ca="1">COUNTIF(Full!$C$4:$C$65,"&lt;"&amp;A36)-SUM(B$26:B35)</f>
        <v>0</v>
      </c>
    </row>
    <row r="37" spans="1:3" x14ac:dyDescent="0.35">
      <c r="A37">
        <v>110</v>
      </c>
      <c r="B37">
        <f ca="1">COUNTIF(Full!$C$4:$C$65,"&lt;"&amp;A37)-SUM(B$26:B36)</f>
        <v>0</v>
      </c>
    </row>
    <row r="38" spans="1:3" x14ac:dyDescent="0.35">
      <c r="B38">
        <f ca="1">SUM(B26:B37)</f>
        <v>6</v>
      </c>
    </row>
    <row r="47" spans="1:3" x14ac:dyDescent="0.35">
      <c r="A47">
        <v>0</v>
      </c>
      <c r="B47">
        <f ca="1">COUNTIF(Full!$C$4:$C$65,"="&amp;A47)</f>
        <v>0</v>
      </c>
      <c r="C47" t="s">
        <v>15</v>
      </c>
    </row>
    <row r="48" spans="1:3" x14ac:dyDescent="0.35">
      <c r="A48">
        <v>40</v>
      </c>
      <c r="B48">
        <f ca="1">COUNTIF(Full!$C$4:$C$65,"&lt;"&amp;A48)-B47</f>
        <v>1</v>
      </c>
      <c r="C48" t="s">
        <v>20</v>
      </c>
    </row>
    <row r="49" spans="1:3" x14ac:dyDescent="0.35">
      <c r="A49">
        <v>50</v>
      </c>
      <c r="B49">
        <f ca="1">COUNTIF(Full!$C$4:$C$65,"&lt;"&amp;A49)-SUM(B$47:B48)</f>
        <v>3</v>
      </c>
      <c r="C49" s="43" t="s">
        <v>86</v>
      </c>
    </row>
    <row r="50" spans="1:3" x14ac:dyDescent="0.35">
      <c r="A50">
        <v>60</v>
      </c>
      <c r="B50">
        <f ca="1">COUNTIF(Full!$C$4:$C$65,"&lt;"&amp;A50)-SUM(B$47:B49)</f>
        <v>2</v>
      </c>
      <c r="C50" s="44" t="s">
        <v>85</v>
      </c>
    </row>
    <row r="51" spans="1:3" x14ac:dyDescent="0.35">
      <c r="A51">
        <v>70</v>
      </c>
      <c r="B51">
        <f ca="1">COUNTIF(Full!$C$4:$C$65,"&lt;"&amp;A51)-SUM(B$47:B50)</f>
        <v>0</v>
      </c>
      <c r="C51" s="43" t="s">
        <v>87</v>
      </c>
    </row>
    <row r="52" spans="1:3" x14ac:dyDescent="0.35">
      <c r="A52">
        <v>100</v>
      </c>
      <c r="B52">
        <f ca="1">COUNTIF(Full!$C$4:$C$65,"&lt;"&amp;A52)-SUM(B$47:B51)</f>
        <v>0</v>
      </c>
      <c r="C52" s="43" t="s">
        <v>88</v>
      </c>
    </row>
    <row r="53" spans="1:3" x14ac:dyDescent="0.35">
      <c r="B53">
        <f ca="1">SUM(B47:B52)</f>
        <v>6</v>
      </c>
    </row>
    <row r="97" spans="2:2" x14ac:dyDescent="0.35">
      <c r="B97">
        <f ca="1">SUM(B2:B95)</f>
        <v>36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landscape" horizontalDpi="300" verticalDpi="300" r:id="rId1"/>
  <headerFooter>
    <oddHeader>&amp;C&amp;"Times New Roman,Regular"&amp;12&amp;A</oddHeader>
    <oddFooter>&amp;C&amp;"Times New Roman,Regular"&amp;12Page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8"/>
  <dimension ref="A1:M116"/>
  <sheetViews>
    <sheetView topLeftCell="A4" zoomScaleNormal="100" workbookViewId="0">
      <selection activeCell="A2" sqref="A2:A7"/>
    </sheetView>
  </sheetViews>
  <sheetFormatPr defaultRowHeight="14.5" x14ac:dyDescent="0.35"/>
  <cols>
    <col min="1" max="1" width="12.6328125" customWidth="1"/>
    <col min="2" max="2" width="18.08984375" customWidth="1"/>
    <col min="3" max="3" width="18.90625" customWidth="1"/>
    <col min="4" max="4" width="8.54296875" customWidth="1"/>
    <col min="5" max="5" width="18.6328125" bestFit="1" customWidth="1"/>
    <col min="6" max="9" width="18.6328125" customWidth="1"/>
    <col min="10" max="12" width="8.54296875" customWidth="1"/>
    <col min="13" max="13" width="10.453125" bestFit="1" customWidth="1"/>
    <col min="14" max="14" width="8.54296875" customWidth="1"/>
    <col min="15" max="15" width="31.54296875" bestFit="1" customWidth="1"/>
    <col min="16" max="1023" width="8.54296875" customWidth="1"/>
  </cols>
  <sheetData>
    <row r="1" spans="1:13" x14ac:dyDescent="0.35">
      <c r="A1" t="s">
        <v>18</v>
      </c>
      <c r="B1" t="s">
        <v>0</v>
      </c>
      <c r="C1" t="s">
        <v>11</v>
      </c>
    </row>
    <row r="2" spans="1:13" x14ac:dyDescent="0.35">
      <c r="A2">
        <v>1000001</v>
      </c>
      <c r="B2" t="s">
        <v>101</v>
      </c>
      <c r="D2" s="6"/>
    </row>
    <row r="3" spans="1:13" x14ac:dyDescent="0.35">
      <c r="A3">
        <v>1000002</v>
      </c>
      <c r="B3" t="s">
        <v>102</v>
      </c>
      <c r="D3" s="6"/>
    </row>
    <row r="4" spans="1:13" x14ac:dyDescent="0.35">
      <c r="A4">
        <v>1000003</v>
      </c>
      <c r="B4" t="s">
        <v>103</v>
      </c>
      <c r="D4" s="6"/>
    </row>
    <row r="5" spans="1:13" x14ac:dyDescent="0.35">
      <c r="A5">
        <v>1000004</v>
      </c>
      <c r="B5" t="s">
        <v>104</v>
      </c>
      <c r="D5" s="6"/>
    </row>
    <row r="6" spans="1:13" x14ac:dyDescent="0.35">
      <c r="A6">
        <v>1000005</v>
      </c>
      <c r="B6" t="s">
        <v>105</v>
      </c>
      <c r="D6" s="6"/>
    </row>
    <row r="7" spans="1:13" x14ac:dyDescent="0.35">
      <c r="A7">
        <v>1000006</v>
      </c>
      <c r="B7" t="s">
        <v>106</v>
      </c>
      <c r="D7" s="6"/>
      <c r="M7" s="2"/>
    </row>
    <row r="8" spans="1:13" x14ac:dyDescent="0.35">
      <c r="D8" s="6"/>
    </row>
    <row r="9" spans="1:13" x14ac:dyDescent="0.35">
      <c r="D9" s="6"/>
    </row>
    <row r="10" spans="1:13" x14ac:dyDescent="0.35">
      <c r="D10" s="6"/>
    </row>
    <row r="11" spans="1:13" x14ac:dyDescent="0.35">
      <c r="D11" s="6"/>
    </row>
    <row r="12" spans="1:13" ht="14.15" customHeight="1" x14ac:dyDescent="0.35">
      <c r="D12" s="6"/>
    </row>
    <row r="13" spans="1:13" x14ac:dyDescent="0.35">
      <c r="D13" s="6"/>
    </row>
    <row r="14" spans="1:13" x14ac:dyDescent="0.35">
      <c r="D14" s="6"/>
    </row>
    <row r="15" spans="1:13" x14ac:dyDescent="0.35">
      <c r="D15" s="6"/>
    </row>
    <row r="16" spans="1:13" x14ac:dyDescent="0.35">
      <c r="D16" s="6"/>
    </row>
    <row r="17" spans="4:13" x14ac:dyDescent="0.35">
      <c r="D17" s="6"/>
    </row>
    <row r="18" spans="4:13" x14ac:dyDescent="0.35">
      <c r="D18" s="6"/>
    </row>
    <row r="19" spans="4:13" x14ac:dyDescent="0.35">
      <c r="D19" s="6"/>
    </row>
    <row r="20" spans="4:13" x14ac:dyDescent="0.35">
      <c r="D20" s="6"/>
    </row>
    <row r="21" spans="4:13" x14ac:dyDescent="0.35">
      <c r="D21" s="6"/>
    </row>
    <row r="22" spans="4:13" x14ac:dyDescent="0.35">
      <c r="D22" s="6"/>
    </row>
    <row r="23" spans="4:13" x14ac:dyDescent="0.35">
      <c r="D23" s="6"/>
    </row>
    <row r="24" spans="4:13" x14ac:dyDescent="0.35">
      <c r="D24" s="6"/>
    </row>
    <row r="25" spans="4:13" x14ac:dyDescent="0.35">
      <c r="D25" s="6"/>
    </row>
    <row r="26" spans="4:13" x14ac:dyDescent="0.35">
      <c r="D26" s="6"/>
    </row>
    <row r="27" spans="4:13" x14ac:dyDescent="0.35">
      <c r="D27" s="6"/>
    </row>
    <row r="28" spans="4:13" x14ac:dyDescent="0.35">
      <c r="D28" s="6"/>
    </row>
    <row r="29" spans="4:13" x14ac:dyDescent="0.35">
      <c r="D29" s="6"/>
    </row>
    <row r="30" spans="4:13" x14ac:dyDescent="0.35">
      <c r="D30" s="6"/>
    </row>
    <row r="31" spans="4:13" x14ac:dyDescent="0.35">
      <c r="D31" s="6"/>
      <c r="M31" s="2"/>
    </row>
    <row r="32" spans="4:13" x14ac:dyDescent="0.35">
      <c r="D32" s="6"/>
    </row>
    <row r="33" spans="4:13" x14ac:dyDescent="0.35">
      <c r="D33" s="6"/>
    </row>
    <row r="34" spans="4:13" x14ac:dyDescent="0.35">
      <c r="D34" s="6"/>
    </row>
    <row r="35" spans="4:13" x14ac:dyDescent="0.35">
      <c r="D35" s="6"/>
    </row>
    <row r="36" spans="4:13" x14ac:dyDescent="0.35">
      <c r="D36" s="6"/>
    </row>
    <row r="37" spans="4:13" x14ac:dyDescent="0.35">
      <c r="D37" s="6"/>
    </row>
    <row r="38" spans="4:13" x14ac:dyDescent="0.35">
      <c r="D38" s="6"/>
    </row>
    <row r="39" spans="4:13" x14ac:dyDescent="0.35">
      <c r="D39" s="6"/>
    </row>
    <row r="40" spans="4:13" x14ac:dyDescent="0.35">
      <c r="D40" s="6"/>
    </row>
    <row r="41" spans="4:13" x14ac:dyDescent="0.35">
      <c r="D41" s="6"/>
    </row>
    <row r="42" spans="4:13" x14ac:dyDescent="0.35">
      <c r="D42" s="6"/>
      <c r="M42" s="2"/>
    </row>
    <row r="43" spans="4:13" x14ac:dyDescent="0.35">
      <c r="D43" s="6"/>
    </row>
    <row r="44" spans="4:13" x14ac:dyDescent="0.35">
      <c r="D44" s="6"/>
    </row>
    <row r="45" spans="4:13" x14ac:dyDescent="0.35">
      <c r="D45" s="6"/>
    </row>
    <row r="46" spans="4:13" x14ac:dyDescent="0.35">
      <c r="D46" s="6"/>
    </row>
    <row r="47" spans="4:13" x14ac:dyDescent="0.35">
      <c r="D47" s="6"/>
      <c r="E47" s="5"/>
      <c r="G47" s="5"/>
    </row>
    <row r="48" spans="4:13" x14ac:dyDescent="0.35">
      <c r="D48" s="6"/>
    </row>
    <row r="49" spans="4:4" x14ac:dyDescent="0.35">
      <c r="D49" s="6"/>
    </row>
    <row r="59" spans="4:4" ht="15" customHeight="1" x14ac:dyDescent="0.35"/>
    <row r="67" spans="1:3" x14ac:dyDescent="0.35">
      <c r="A67" s="4"/>
    </row>
    <row r="74" spans="1:3" x14ac:dyDescent="0.35">
      <c r="C74" s="1"/>
    </row>
    <row r="91" spans="3:6" x14ac:dyDescent="0.35">
      <c r="C91" s="1"/>
      <c r="F91" s="41"/>
    </row>
    <row r="95" spans="3:6" x14ac:dyDescent="0.35">
      <c r="C95" s="1"/>
    </row>
    <row r="105" spans="3:3" x14ac:dyDescent="0.35">
      <c r="C105" s="1"/>
    </row>
    <row r="116" spans="3:3" x14ac:dyDescent="0.35">
      <c r="C116" s="1"/>
    </row>
  </sheetData>
  <sortState xmlns:xlrd2="http://schemas.microsoft.com/office/spreadsheetml/2017/richdata2" ref="G68:G81">
    <sortCondition ref="G68:G81"/>
  </sortState>
  <phoneticPr fontId="11" type="noConversion"/>
  <pageMargins left="0.7" right="0.7" top="0.75" bottom="0.75" header="0.51180555555555496" footer="0.51180555555555496"/>
  <pageSetup paperSize="9" firstPageNumber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9"/>
  <dimension ref="A1:J88"/>
  <sheetViews>
    <sheetView zoomScaleNormal="100" workbookViewId="0">
      <selection activeCell="I30" sqref="I30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D1" t="s">
        <v>3</v>
      </c>
      <c r="E1">
        <f>D8</f>
        <v>0</v>
      </c>
      <c r="G1">
        <f>D3</f>
        <v>0</v>
      </c>
      <c r="H1">
        <f>D4</f>
        <v>0</v>
      </c>
      <c r="I1">
        <f>D5</f>
        <v>0</v>
      </c>
      <c r="J1">
        <f>D6</f>
        <v>0</v>
      </c>
    </row>
    <row r="3" spans="1:10" x14ac:dyDescent="0.35">
      <c r="A3" t="s">
        <v>21</v>
      </c>
      <c r="D3" s="9">
        <f>D10</f>
        <v>0</v>
      </c>
    </row>
    <row r="4" spans="1:10" x14ac:dyDescent="0.35">
      <c r="A4" t="s">
        <v>23</v>
      </c>
      <c r="D4" s="9">
        <f>D18</f>
        <v>0</v>
      </c>
    </row>
    <row r="5" spans="1:10" x14ac:dyDescent="0.35">
      <c r="A5" t="s">
        <v>25</v>
      </c>
      <c r="D5" s="9">
        <f>D23</f>
        <v>0</v>
      </c>
    </row>
    <row r="6" spans="1:10" x14ac:dyDescent="0.35">
      <c r="A6" t="s">
        <v>24</v>
      </c>
      <c r="D6" s="9">
        <f>D33</f>
        <v>0</v>
      </c>
    </row>
    <row r="7" spans="1:10" x14ac:dyDescent="0.35">
      <c r="A7" t="s">
        <v>26</v>
      </c>
      <c r="D7" s="9">
        <f>SUM(D3:D6)</f>
        <v>0</v>
      </c>
    </row>
    <row r="8" spans="1:10" x14ac:dyDescent="0.35">
      <c r="A8" t="s">
        <v>27</v>
      </c>
      <c r="D8" s="9">
        <f>ROUNDUP(D7/4,0)</f>
        <v>0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0</v>
      </c>
      <c r="E10" s="11">
        <f>SUM(E11:E16)</f>
        <v>100</v>
      </c>
    </row>
    <row r="11" spans="1:10" x14ac:dyDescent="0.35">
      <c r="B11" t="s">
        <v>28</v>
      </c>
      <c r="D11" s="7"/>
      <c r="E11" s="11">
        <v>10</v>
      </c>
    </row>
    <row r="12" spans="1:10" x14ac:dyDescent="0.35">
      <c r="B12" t="s">
        <v>29</v>
      </c>
      <c r="D12" s="7"/>
      <c r="E12" s="11">
        <v>20</v>
      </c>
    </row>
    <row r="13" spans="1:10" x14ac:dyDescent="0.35">
      <c r="B13" t="s">
        <v>5</v>
      </c>
      <c r="D13" s="7"/>
      <c r="E13" s="11">
        <v>20</v>
      </c>
    </row>
    <row r="14" spans="1:10" x14ac:dyDescent="0.35">
      <c r="B14" t="s">
        <v>6</v>
      </c>
      <c r="D14" s="7"/>
      <c r="E14" s="11">
        <v>30</v>
      </c>
    </row>
    <row r="15" spans="1:10" x14ac:dyDescent="0.35">
      <c r="B15" t="s">
        <v>7</v>
      </c>
      <c r="D15" s="7"/>
      <c r="E15" s="11">
        <v>10</v>
      </c>
    </row>
    <row r="16" spans="1:10" x14ac:dyDescent="0.35">
      <c r="B16" t="s">
        <v>8</v>
      </c>
      <c r="D16" s="7"/>
      <c r="E16" s="11">
        <v>10</v>
      </c>
    </row>
    <row r="18" spans="1:5" x14ac:dyDescent="0.35">
      <c r="A18" t="str">
        <f>A4</f>
        <v>2. Zoo Design [25%]</v>
      </c>
      <c r="D18" s="9">
        <f>SUM(D19:D21)</f>
        <v>0</v>
      </c>
      <c r="E18" s="11">
        <f>SUM(E19:E21)</f>
        <v>100</v>
      </c>
    </row>
    <row r="19" spans="1:5" x14ac:dyDescent="0.35">
      <c r="B19" t="s">
        <v>30</v>
      </c>
      <c r="D19" s="7"/>
      <c r="E19" s="11">
        <v>30</v>
      </c>
    </row>
    <row r="20" spans="1:5" x14ac:dyDescent="0.35">
      <c r="B20" t="s">
        <v>31</v>
      </c>
      <c r="D20" s="7"/>
      <c r="E20" s="11">
        <v>50</v>
      </c>
    </row>
    <row r="21" spans="1:5" x14ac:dyDescent="0.35">
      <c r="B21" t="s">
        <v>32</v>
      </c>
      <c r="D21" s="7"/>
      <c r="E21" s="11">
        <v>20</v>
      </c>
    </row>
    <row r="23" spans="1:5" x14ac:dyDescent="0.35">
      <c r="A23" t="str">
        <f>A5</f>
        <v>3. Zoo Application [25%]</v>
      </c>
      <c r="D23" s="8">
        <f>SUM(D24:D31)</f>
        <v>0</v>
      </c>
      <c r="E23" s="11">
        <f>SUM(E24:E30)</f>
        <v>80</v>
      </c>
    </row>
    <row r="24" spans="1:5" x14ac:dyDescent="0.35">
      <c r="B24" t="s">
        <v>33</v>
      </c>
      <c r="D24" s="7"/>
      <c r="E24" s="11">
        <v>10</v>
      </c>
    </row>
    <row r="25" spans="1:5" x14ac:dyDescent="0.35">
      <c r="B25" t="s">
        <v>9</v>
      </c>
      <c r="D25" s="7"/>
      <c r="E25" s="11">
        <v>10</v>
      </c>
    </row>
    <row r="26" spans="1:5" x14ac:dyDescent="0.35">
      <c r="B26" t="s">
        <v>10</v>
      </c>
      <c r="D26" s="7"/>
      <c r="E26" s="11">
        <v>20</v>
      </c>
    </row>
    <row r="27" spans="1:5" x14ac:dyDescent="0.35">
      <c r="B27" t="s">
        <v>34</v>
      </c>
      <c r="D27" s="7"/>
      <c r="E27" s="11">
        <v>10</v>
      </c>
    </row>
    <row r="28" spans="1:5" x14ac:dyDescent="0.35">
      <c r="B28" t="s">
        <v>35</v>
      </c>
      <c r="D28" s="7"/>
      <c r="E28" s="11">
        <v>10</v>
      </c>
    </row>
    <row r="29" spans="1:5" x14ac:dyDescent="0.35">
      <c r="B29" t="s">
        <v>36</v>
      </c>
      <c r="D29" s="7"/>
      <c r="E29" s="11">
        <v>10</v>
      </c>
    </row>
    <row r="30" spans="1:5" x14ac:dyDescent="0.35">
      <c r="B30" t="s">
        <v>37</v>
      </c>
      <c r="D30" s="7"/>
      <c r="E30" s="11">
        <v>10</v>
      </c>
    </row>
    <row r="31" spans="1:5" x14ac:dyDescent="0.35">
      <c r="B31" t="s">
        <v>38</v>
      </c>
      <c r="D31" s="7"/>
      <c r="E31" s="11">
        <v>20</v>
      </c>
    </row>
    <row r="33" spans="1:5" x14ac:dyDescent="0.35">
      <c r="A33" t="str">
        <f>A6</f>
        <v>4 Assessment Exercises [25%]</v>
      </c>
      <c r="D33" s="9">
        <f>D34*4/3</f>
        <v>0</v>
      </c>
      <c r="E33" s="11">
        <v>100</v>
      </c>
    </row>
    <row r="34" spans="1:5" x14ac:dyDescent="0.35">
      <c r="D34" s="9">
        <f>SUM(D35,D41,D53)</f>
        <v>0</v>
      </c>
      <c r="E34" s="11">
        <v>75</v>
      </c>
    </row>
    <row r="35" spans="1:5" x14ac:dyDescent="0.35">
      <c r="B35" t="s">
        <v>39</v>
      </c>
      <c r="D35" s="9">
        <f>SUM(D36:D39)</f>
        <v>0</v>
      </c>
      <c r="E35" s="11">
        <f>SUM(E36:E39)</f>
        <v>25</v>
      </c>
    </row>
    <row r="36" spans="1:5" x14ac:dyDescent="0.35">
      <c r="C36" t="s">
        <v>40</v>
      </c>
      <c r="D36" s="7"/>
      <c r="E36" s="11">
        <v>5</v>
      </c>
    </row>
    <row r="37" spans="1:5" x14ac:dyDescent="0.35">
      <c r="C37" t="s">
        <v>41</v>
      </c>
      <c r="D37" s="7"/>
      <c r="E37" s="11">
        <v>5</v>
      </c>
    </row>
    <row r="38" spans="1:5" x14ac:dyDescent="0.35">
      <c r="C38" t="s">
        <v>42</v>
      </c>
      <c r="D38" s="7"/>
      <c r="E38" s="11">
        <v>5</v>
      </c>
    </row>
    <row r="39" spans="1:5" x14ac:dyDescent="0.35">
      <c r="C39" t="s">
        <v>43</v>
      </c>
      <c r="D39" s="7"/>
      <c r="E39" s="11">
        <v>10</v>
      </c>
    </row>
    <row r="41" spans="1:5" x14ac:dyDescent="0.35">
      <c r="B41" t="s">
        <v>44</v>
      </c>
      <c r="D41" s="9">
        <f>SUM(D42:D51)</f>
        <v>0</v>
      </c>
      <c r="E41" s="11">
        <f>SUM(E42:E51)</f>
        <v>25</v>
      </c>
    </row>
    <row r="42" spans="1:5" x14ac:dyDescent="0.35">
      <c r="B42" t="s">
        <v>45</v>
      </c>
      <c r="C42" t="s">
        <v>46</v>
      </c>
      <c r="D42" s="7"/>
      <c r="E42" s="11">
        <v>2</v>
      </c>
    </row>
    <row r="43" spans="1:5" x14ac:dyDescent="0.35">
      <c r="C43" t="s">
        <v>47</v>
      </c>
      <c r="D43" s="7"/>
      <c r="E43" s="11">
        <v>2</v>
      </c>
    </row>
    <row r="44" spans="1:5" x14ac:dyDescent="0.35">
      <c r="C44" t="s">
        <v>48</v>
      </c>
      <c r="D44" s="7"/>
      <c r="E44" s="11">
        <v>2</v>
      </c>
    </row>
    <row r="45" spans="1:5" x14ac:dyDescent="0.35">
      <c r="C45" t="s">
        <v>49</v>
      </c>
      <c r="D45" s="7"/>
      <c r="E45" s="11">
        <v>2</v>
      </c>
    </row>
    <row r="46" spans="1:5" x14ac:dyDescent="0.35">
      <c r="C46" t="s">
        <v>50</v>
      </c>
      <c r="D46" s="7"/>
      <c r="E46" s="11">
        <v>2</v>
      </c>
    </row>
    <row r="47" spans="1:5" x14ac:dyDescent="0.35">
      <c r="B47" t="s">
        <v>51</v>
      </c>
      <c r="C47" t="s">
        <v>46</v>
      </c>
      <c r="D47" s="7"/>
      <c r="E47" s="11">
        <v>3</v>
      </c>
    </row>
    <row r="48" spans="1:5" x14ac:dyDescent="0.35">
      <c r="C48" t="s">
        <v>52</v>
      </c>
      <c r="D48" s="7"/>
      <c r="E48" s="11">
        <v>3</v>
      </c>
    </row>
    <row r="49" spans="1:10" x14ac:dyDescent="0.35">
      <c r="C49" t="s">
        <v>48</v>
      </c>
      <c r="D49" s="7"/>
      <c r="E49" s="11">
        <v>3</v>
      </c>
    </row>
    <row r="50" spans="1:10" x14ac:dyDescent="0.35">
      <c r="C50" t="s">
        <v>49</v>
      </c>
      <c r="D50" s="7"/>
      <c r="E50" s="11">
        <v>3</v>
      </c>
    </row>
    <row r="51" spans="1:10" x14ac:dyDescent="0.35">
      <c r="C51" t="s">
        <v>53</v>
      </c>
      <c r="D51" s="7"/>
      <c r="E51" s="11">
        <v>3</v>
      </c>
    </row>
    <row r="53" spans="1:10" x14ac:dyDescent="0.35">
      <c r="B53" t="s">
        <v>54</v>
      </c>
      <c r="D53" s="9">
        <f>SUM(D54:D56)</f>
        <v>0</v>
      </c>
      <c r="E53" s="11">
        <v>25</v>
      </c>
    </row>
    <row r="54" spans="1:10" x14ac:dyDescent="0.35">
      <c r="B54" t="s">
        <v>55</v>
      </c>
      <c r="C54" t="s">
        <v>56</v>
      </c>
      <c r="D54" s="7"/>
      <c r="E54" s="11">
        <v>10</v>
      </c>
    </row>
    <row r="55" spans="1:10" x14ac:dyDescent="0.35">
      <c r="C55" t="s">
        <v>57</v>
      </c>
      <c r="D55" s="7"/>
      <c r="E55" s="11">
        <v>5</v>
      </c>
    </row>
    <row r="56" spans="1:10" x14ac:dyDescent="0.35">
      <c r="C56" t="s">
        <v>58</v>
      </c>
      <c r="D56" s="7"/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/>
      </c>
      <c r="C62" s="18" t="str">
        <f t="shared" si="0"/>
        <v/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>X</v>
      </c>
      <c r="J62">
        <f>D11/E11</f>
        <v>0</v>
      </c>
    </row>
    <row r="63" spans="1:10" ht="39" x14ac:dyDescent="0.35">
      <c r="A63" s="30" t="s">
        <v>29</v>
      </c>
      <c r="B63" s="18" t="str">
        <f t="shared" si="0"/>
        <v/>
      </c>
      <c r="C63" s="18" t="str">
        <f t="shared" si="0"/>
        <v/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>X</v>
      </c>
      <c r="J63">
        <f t="shared" ref="J63:J67" si="1">D12/E12</f>
        <v>0</v>
      </c>
    </row>
    <row r="64" spans="1:10" ht="26" x14ac:dyDescent="0.35">
      <c r="A64" s="30" t="s">
        <v>5</v>
      </c>
      <c r="B64" s="18" t="str">
        <f t="shared" si="0"/>
        <v/>
      </c>
      <c r="C64" s="18" t="str">
        <f t="shared" si="0"/>
        <v/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>X</v>
      </c>
      <c r="J64">
        <f t="shared" si="1"/>
        <v>0</v>
      </c>
    </row>
    <row r="65" spans="1:10" ht="26" x14ac:dyDescent="0.35">
      <c r="A65" s="31" t="s">
        <v>6</v>
      </c>
      <c r="B65" s="18" t="str">
        <f t="shared" si="0"/>
        <v/>
      </c>
      <c r="C65" s="18" t="str">
        <f t="shared" si="0"/>
        <v/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>X</v>
      </c>
      <c r="J65">
        <f t="shared" si="1"/>
        <v>0</v>
      </c>
    </row>
    <row r="66" spans="1:10" x14ac:dyDescent="0.35">
      <c r="A66" s="31" t="s">
        <v>7</v>
      </c>
      <c r="B66" s="18" t="str">
        <f t="shared" si="0"/>
        <v/>
      </c>
      <c r="C66" s="18" t="str">
        <f t="shared" si="0"/>
        <v/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>X</v>
      </c>
      <c r="J66">
        <f t="shared" si="1"/>
        <v>0</v>
      </c>
    </row>
    <row r="67" spans="1:10" ht="15" thickBot="1" x14ac:dyDescent="0.4">
      <c r="A67" s="32" t="s">
        <v>8</v>
      </c>
      <c r="B67" s="20" t="str">
        <f t="shared" si="0"/>
        <v/>
      </c>
      <c r="C67" s="20" t="str">
        <f t="shared" si="0"/>
        <v/>
      </c>
      <c r="D67" s="20" t="str">
        <f t="shared" si="0"/>
        <v/>
      </c>
      <c r="E67" s="20" t="str">
        <f t="shared" si="0"/>
        <v/>
      </c>
      <c r="F67" s="20" t="str">
        <f t="shared" si="0"/>
        <v/>
      </c>
      <c r="G67" s="20" t="str">
        <f t="shared" si="0"/>
        <v/>
      </c>
      <c r="H67" s="21" t="str">
        <f t="shared" si="0"/>
        <v>X</v>
      </c>
      <c r="J67">
        <f t="shared" si="1"/>
        <v>0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/>
      </c>
      <c r="D69" s="16" t="str">
        <f t="shared" si="2"/>
        <v/>
      </c>
      <c r="E69" s="16" t="str">
        <f t="shared" si="2"/>
        <v/>
      </c>
      <c r="F69" s="16" t="str">
        <f t="shared" si="2"/>
        <v/>
      </c>
      <c r="G69" s="16" t="str">
        <f t="shared" si="2"/>
        <v/>
      </c>
      <c r="H69" s="17" t="str">
        <f t="shared" si="2"/>
        <v>X</v>
      </c>
      <c r="J69" s="24">
        <f>D19/E19</f>
        <v>0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/>
      </c>
      <c r="D70" s="18" t="str">
        <f t="shared" si="2"/>
        <v/>
      </c>
      <c r="E70" s="18" t="str">
        <f t="shared" si="2"/>
        <v/>
      </c>
      <c r="F70" s="18" t="str">
        <f t="shared" si="2"/>
        <v/>
      </c>
      <c r="G70" s="18" t="str">
        <f t="shared" si="2"/>
        <v/>
      </c>
      <c r="H70" s="19" t="str">
        <f t="shared" si="2"/>
        <v>X</v>
      </c>
      <c r="J70" s="24">
        <f t="shared" ref="J70:J71" si="3">D20/E20</f>
        <v>0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/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>X</v>
      </c>
      <c r="J71" s="24">
        <f t="shared" si="3"/>
        <v>0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/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>X</v>
      </c>
      <c r="J73" s="24">
        <f>D24/E24</f>
        <v>0</v>
      </c>
    </row>
    <row r="74" spans="1:10" ht="26" x14ac:dyDescent="0.35">
      <c r="A74" s="31" t="s">
        <v>9</v>
      </c>
      <c r="B74" s="18" t="str">
        <f t="shared" si="4"/>
        <v/>
      </c>
      <c r="C74" s="18" t="str">
        <f t="shared" si="4"/>
        <v/>
      </c>
      <c r="D74" s="18" t="str">
        <f t="shared" si="4"/>
        <v/>
      </c>
      <c r="E74" s="18" t="str">
        <f t="shared" si="4"/>
        <v/>
      </c>
      <c r="F74" s="18" t="str">
        <f t="shared" si="4"/>
        <v/>
      </c>
      <c r="G74" s="18" t="str">
        <f t="shared" si="4"/>
        <v/>
      </c>
      <c r="H74" s="19" t="str">
        <f t="shared" si="4"/>
        <v>X</v>
      </c>
      <c r="J74" s="24">
        <f t="shared" ref="J74:J80" si="5">D25/E25</f>
        <v>0</v>
      </c>
    </row>
    <row r="75" spans="1:10" ht="26" x14ac:dyDescent="0.35">
      <c r="A75" s="31" t="s">
        <v>10</v>
      </c>
      <c r="B75" s="18" t="str">
        <f t="shared" si="4"/>
        <v/>
      </c>
      <c r="C75" s="18" t="str">
        <f t="shared" si="4"/>
        <v/>
      </c>
      <c r="D75" s="18" t="str">
        <f t="shared" si="4"/>
        <v/>
      </c>
      <c r="E75" s="18" t="str">
        <f t="shared" si="4"/>
        <v/>
      </c>
      <c r="F75" s="18" t="str">
        <f t="shared" si="4"/>
        <v/>
      </c>
      <c r="G75" s="18" t="str">
        <f t="shared" si="4"/>
        <v/>
      </c>
      <c r="H75" s="19" t="str">
        <f t="shared" si="4"/>
        <v>X</v>
      </c>
      <c r="J75" s="24">
        <f t="shared" si="5"/>
        <v>0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/>
      </c>
      <c r="D76" s="18" t="str">
        <f t="shared" si="4"/>
        <v/>
      </c>
      <c r="E76" s="18" t="str">
        <f t="shared" si="4"/>
        <v/>
      </c>
      <c r="F76" s="18" t="str">
        <f t="shared" si="4"/>
        <v/>
      </c>
      <c r="G76" s="18" t="str">
        <f t="shared" si="4"/>
        <v/>
      </c>
      <c r="H76" s="19" t="str">
        <f t="shared" si="4"/>
        <v>X</v>
      </c>
      <c r="J76" s="24">
        <f t="shared" si="5"/>
        <v>0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/>
      </c>
      <c r="D77" s="18" t="str">
        <f t="shared" si="4"/>
        <v/>
      </c>
      <c r="E77" s="18" t="str">
        <f t="shared" si="4"/>
        <v/>
      </c>
      <c r="F77" s="18" t="str">
        <f t="shared" si="4"/>
        <v/>
      </c>
      <c r="G77" s="18" t="str">
        <f t="shared" si="4"/>
        <v/>
      </c>
      <c r="H77" s="19" t="str">
        <f t="shared" si="4"/>
        <v>X</v>
      </c>
      <c r="J77" s="24">
        <f t="shared" si="5"/>
        <v>0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/>
      </c>
      <c r="D78" s="18" t="str">
        <f t="shared" si="4"/>
        <v/>
      </c>
      <c r="E78" s="18" t="str">
        <f t="shared" si="4"/>
        <v/>
      </c>
      <c r="F78" s="18" t="str">
        <f t="shared" si="4"/>
        <v/>
      </c>
      <c r="G78" s="18" t="str">
        <f t="shared" si="4"/>
        <v/>
      </c>
      <c r="H78" s="19" t="str">
        <f t="shared" si="4"/>
        <v>X</v>
      </c>
      <c r="J78" s="24">
        <f t="shared" si="5"/>
        <v>0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/>
      </c>
      <c r="D79" s="18" t="str">
        <f t="shared" si="4"/>
        <v/>
      </c>
      <c r="E79" s="18" t="str">
        <f t="shared" si="4"/>
        <v/>
      </c>
      <c r="F79" s="18" t="str">
        <f t="shared" si="4"/>
        <v/>
      </c>
      <c r="G79" s="18" t="str">
        <f t="shared" si="4"/>
        <v/>
      </c>
      <c r="H79" s="19" t="str">
        <f t="shared" si="4"/>
        <v>X</v>
      </c>
      <c r="J79" s="24">
        <f t="shared" si="5"/>
        <v>0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/>
      </c>
      <c r="D80" s="20" t="str">
        <f t="shared" si="4"/>
        <v/>
      </c>
      <c r="E80" s="20" t="str">
        <f t="shared" si="4"/>
        <v/>
      </c>
      <c r="F80" s="20" t="str">
        <f t="shared" si="4"/>
        <v/>
      </c>
      <c r="G80" s="20" t="str">
        <f t="shared" si="4"/>
        <v/>
      </c>
      <c r="H80" s="21" t="str">
        <f t="shared" si="4"/>
        <v>X</v>
      </c>
      <c r="J80" s="24">
        <f t="shared" si="5"/>
        <v>0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/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/>
      </c>
      <c r="G82" s="16" t="str">
        <f t="shared" si="6"/>
        <v/>
      </c>
      <c r="H82" s="17" t="str">
        <f t="shared" si="6"/>
        <v>X</v>
      </c>
      <c r="J82" s="24">
        <f>D35/E35</f>
        <v>0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/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/>
      </c>
      <c r="H83" s="19" t="str">
        <f t="shared" si="6"/>
        <v>X</v>
      </c>
      <c r="J83" s="24">
        <f>D41/E41</f>
        <v>0</v>
      </c>
    </row>
    <row r="84" spans="1:10" ht="15" thickBot="1" x14ac:dyDescent="0.4">
      <c r="A84" s="34" t="s">
        <v>54</v>
      </c>
      <c r="B84" s="22" t="str">
        <f t="shared" si="6"/>
        <v/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/>
      </c>
      <c r="G84" s="22" t="str">
        <f t="shared" si="6"/>
        <v/>
      </c>
      <c r="H84" s="23" t="str">
        <f t="shared" si="6"/>
        <v>X</v>
      </c>
      <c r="J84" s="24">
        <f>D53/E53</f>
        <v>0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51180555555555496" footer="0.51180555555555496"/>
  <pageSetup paperSize="9" firstPageNumber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83107-43F0-4CD7-A81E-90570EEA0DE9}">
  <dimension ref="A1:J88"/>
  <sheetViews>
    <sheetView tabSelected="1" topLeftCell="A46" workbookViewId="0">
      <selection activeCell="A2" sqref="A2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B1" t="s">
        <v>101</v>
      </c>
      <c r="D1" t="s">
        <v>3</v>
      </c>
      <c r="E1">
        <f>D8</f>
        <v>40</v>
      </c>
      <c r="G1">
        <f>D3</f>
        <v>49</v>
      </c>
      <c r="H1">
        <f>D4</f>
        <v>20</v>
      </c>
      <c r="I1">
        <f>D5</f>
        <v>47</v>
      </c>
      <c r="J1">
        <f>D6</f>
        <v>44</v>
      </c>
    </row>
    <row r="2" spans="1:10" x14ac:dyDescent="0.35">
      <c r="A2">
        <v>1000001</v>
      </c>
    </row>
    <row r="3" spans="1:10" x14ac:dyDescent="0.35">
      <c r="A3" t="s">
        <v>21</v>
      </c>
      <c r="D3" s="9">
        <f>D10</f>
        <v>49</v>
      </c>
    </row>
    <row r="4" spans="1:10" x14ac:dyDescent="0.35">
      <c r="A4" t="s">
        <v>23</v>
      </c>
      <c r="D4" s="9">
        <f>D18</f>
        <v>20</v>
      </c>
    </row>
    <row r="5" spans="1:10" x14ac:dyDescent="0.35">
      <c r="A5" t="s">
        <v>25</v>
      </c>
      <c r="D5" s="9">
        <f>D23</f>
        <v>47</v>
      </c>
    </row>
    <row r="6" spans="1:10" x14ac:dyDescent="0.35">
      <c r="A6" t="s">
        <v>24</v>
      </c>
      <c r="D6" s="9">
        <f>D33</f>
        <v>44</v>
      </c>
    </row>
    <row r="7" spans="1:10" x14ac:dyDescent="0.35">
      <c r="A7" t="s">
        <v>26</v>
      </c>
      <c r="D7" s="9">
        <f>SUM(D3:D6)</f>
        <v>160</v>
      </c>
    </row>
    <row r="8" spans="1:10" x14ac:dyDescent="0.35">
      <c r="A8" t="s">
        <v>27</v>
      </c>
      <c r="D8" s="9">
        <f>ROUNDUP(D7/4,0)</f>
        <v>40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49</v>
      </c>
      <c r="E10" s="11">
        <f>SUM(E11:E16)</f>
        <v>100</v>
      </c>
    </row>
    <row r="11" spans="1:10" x14ac:dyDescent="0.35">
      <c r="B11" t="s">
        <v>28</v>
      </c>
      <c r="D11" s="7">
        <v>0</v>
      </c>
      <c r="E11" s="11">
        <v>10</v>
      </c>
    </row>
    <row r="12" spans="1:10" x14ac:dyDescent="0.35">
      <c r="B12" t="s">
        <v>29</v>
      </c>
      <c r="D12" s="7">
        <v>2</v>
      </c>
      <c r="E12" s="11">
        <v>20</v>
      </c>
    </row>
    <row r="13" spans="1:10" x14ac:dyDescent="0.35">
      <c r="B13" t="s">
        <v>5</v>
      </c>
      <c r="D13" s="7">
        <v>15</v>
      </c>
      <c r="E13" s="11">
        <v>20</v>
      </c>
    </row>
    <row r="14" spans="1:10" x14ac:dyDescent="0.35">
      <c r="B14" t="s">
        <v>6</v>
      </c>
      <c r="D14" s="7">
        <v>27</v>
      </c>
      <c r="E14" s="11">
        <v>30</v>
      </c>
    </row>
    <row r="15" spans="1:10" x14ac:dyDescent="0.35">
      <c r="B15" t="s">
        <v>7</v>
      </c>
      <c r="D15" s="7">
        <v>0</v>
      </c>
      <c r="E15" s="11">
        <v>10</v>
      </c>
    </row>
    <row r="16" spans="1:10" x14ac:dyDescent="0.35">
      <c r="B16" t="s">
        <v>8</v>
      </c>
      <c r="D16" s="7">
        <v>5</v>
      </c>
      <c r="E16" s="11">
        <v>10</v>
      </c>
    </row>
    <row r="18" spans="1:7" x14ac:dyDescent="0.35">
      <c r="A18" t="str">
        <f>A4</f>
        <v>2. Zoo Design [25%]</v>
      </c>
      <c r="D18" s="9">
        <f>SUM(D19:D21)</f>
        <v>20</v>
      </c>
      <c r="E18" s="11">
        <f>SUM(E19:E21)</f>
        <v>100</v>
      </c>
    </row>
    <row r="19" spans="1:7" x14ac:dyDescent="0.35">
      <c r="B19" t="s">
        <v>30</v>
      </c>
      <c r="D19" s="7">
        <v>0</v>
      </c>
      <c r="E19" s="11">
        <v>30</v>
      </c>
    </row>
    <row r="20" spans="1:7" x14ac:dyDescent="0.35">
      <c r="B20" t="s">
        <v>31</v>
      </c>
      <c r="D20" s="7">
        <v>20</v>
      </c>
      <c r="E20" s="11">
        <v>50</v>
      </c>
    </row>
    <row r="21" spans="1:7" x14ac:dyDescent="0.35">
      <c r="B21" t="s">
        <v>32</v>
      </c>
      <c r="D21" s="7">
        <v>0</v>
      </c>
      <c r="E21" s="11">
        <v>20</v>
      </c>
    </row>
    <row r="23" spans="1:7" x14ac:dyDescent="0.35">
      <c r="A23" t="str">
        <f>A5</f>
        <v>3. Zoo Application [25%]</v>
      </c>
      <c r="D23" s="8">
        <f>SUM(D24:D31)</f>
        <v>47</v>
      </c>
      <c r="E23" s="11">
        <f>SUM(E24:E30)</f>
        <v>80</v>
      </c>
    </row>
    <row r="24" spans="1:7" x14ac:dyDescent="0.35">
      <c r="B24" t="s">
        <v>33</v>
      </c>
      <c r="D24" s="7">
        <v>10</v>
      </c>
      <c r="E24" s="11">
        <v>10</v>
      </c>
      <c r="G24" t="s">
        <v>89</v>
      </c>
    </row>
    <row r="25" spans="1:7" x14ac:dyDescent="0.35">
      <c r="B25" t="s">
        <v>9</v>
      </c>
      <c r="D25" s="7">
        <v>10</v>
      </c>
      <c r="E25" s="11">
        <v>10</v>
      </c>
      <c r="G25" t="s">
        <v>90</v>
      </c>
    </row>
    <row r="26" spans="1:7" x14ac:dyDescent="0.35">
      <c r="B26" t="s">
        <v>10</v>
      </c>
      <c r="D26" s="7">
        <v>15</v>
      </c>
      <c r="E26" s="11">
        <v>20</v>
      </c>
      <c r="G26" t="s">
        <v>91</v>
      </c>
    </row>
    <row r="27" spans="1:7" x14ac:dyDescent="0.35">
      <c r="B27" t="s">
        <v>34</v>
      </c>
      <c r="D27" s="7">
        <v>0</v>
      </c>
      <c r="E27" s="11">
        <v>10</v>
      </c>
    </row>
    <row r="28" spans="1:7" x14ac:dyDescent="0.35">
      <c r="B28" t="s">
        <v>35</v>
      </c>
      <c r="D28" s="7">
        <v>4</v>
      </c>
      <c r="E28" s="11">
        <v>10</v>
      </c>
    </row>
    <row r="29" spans="1:7" x14ac:dyDescent="0.35">
      <c r="B29" t="s">
        <v>36</v>
      </c>
      <c r="D29" s="7">
        <v>4</v>
      </c>
      <c r="E29" s="11">
        <v>10</v>
      </c>
    </row>
    <row r="30" spans="1:7" x14ac:dyDescent="0.35">
      <c r="B30" t="s">
        <v>37</v>
      </c>
      <c r="D30" s="7">
        <v>4</v>
      </c>
      <c r="E30" s="11">
        <v>10</v>
      </c>
    </row>
    <row r="31" spans="1:7" x14ac:dyDescent="0.35">
      <c r="B31" t="s">
        <v>38</v>
      </c>
      <c r="D31" s="7">
        <v>0</v>
      </c>
      <c r="E31" s="11">
        <v>20</v>
      </c>
    </row>
    <row r="33" spans="1:7" x14ac:dyDescent="0.35">
      <c r="A33" t="str">
        <f>A6</f>
        <v>4 Assessment Exercises [25%]</v>
      </c>
      <c r="D33" s="9">
        <f>D34*4/3</f>
        <v>44</v>
      </c>
      <c r="E33" s="11">
        <v>100</v>
      </c>
    </row>
    <row r="34" spans="1:7" x14ac:dyDescent="0.35">
      <c r="D34" s="9">
        <f>SUM(D35,D41,D53)</f>
        <v>33</v>
      </c>
      <c r="E34" s="11">
        <v>75</v>
      </c>
    </row>
    <row r="35" spans="1:7" x14ac:dyDescent="0.35">
      <c r="B35" t="s">
        <v>39</v>
      </c>
      <c r="D35" s="9">
        <f>SUM(D36:D39)</f>
        <v>10</v>
      </c>
      <c r="E35" s="11">
        <f>SUM(E36:E39)</f>
        <v>25</v>
      </c>
    </row>
    <row r="36" spans="1:7" x14ac:dyDescent="0.35">
      <c r="C36" t="s">
        <v>40</v>
      </c>
      <c r="D36" s="7">
        <v>2</v>
      </c>
      <c r="E36" s="11">
        <v>5</v>
      </c>
      <c r="G36" t="s">
        <v>92</v>
      </c>
    </row>
    <row r="37" spans="1:7" x14ac:dyDescent="0.35">
      <c r="C37" t="s">
        <v>41</v>
      </c>
      <c r="D37" s="7">
        <v>2</v>
      </c>
      <c r="E37" s="11">
        <v>5</v>
      </c>
      <c r="G37" t="s">
        <v>93</v>
      </c>
    </row>
    <row r="38" spans="1:7" x14ac:dyDescent="0.35">
      <c r="C38" t="s">
        <v>42</v>
      </c>
      <c r="D38" s="7">
        <v>2</v>
      </c>
      <c r="E38" s="11">
        <v>5</v>
      </c>
    </row>
    <row r="39" spans="1:7" x14ac:dyDescent="0.35">
      <c r="C39" t="s">
        <v>43</v>
      </c>
      <c r="D39" s="7">
        <v>4</v>
      </c>
      <c r="E39" s="11">
        <v>10</v>
      </c>
    </row>
    <row r="41" spans="1:7" x14ac:dyDescent="0.35">
      <c r="B41" t="s">
        <v>44</v>
      </c>
      <c r="D41" s="9">
        <f>SUM(D42:D51)</f>
        <v>19</v>
      </c>
      <c r="E41" s="11">
        <f>SUM(E42:E51)</f>
        <v>25</v>
      </c>
    </row>
    <row r="42" spans="1:7" x14ac:dyDescent="0.35">
      <c r="B42" t="s">
        <v>45</v>
      </c>
      <c r="C42" t="s">
        <v>46</v>
      </c>
      <c r="D42" s="7">
        <v>2</v>
      </c>
      <c r="E42" s="11">
        <v>2</v>
      </c>
    </row>
    <row r="43" spans="1:7" x14ac:dyDescent="0.35">
      <c r="C43" t="s">
        <v>47</v>
      </c>
      <c r="D43" s="7">
        <v>2</v>
      </c>
      <c r="E43" s="11">
        <v>2</v>
      </c>
    </row>
    <row r="44" spans="1:7" x14ac:dyDescent="0.35">
      <c r="C44" t="s">
        <v>48</v>
      </c>
      <c r="D44" s="7">
        <v>2</v>
      </c>
      <c r="E44" s="11">
        <v>2</v>
      </c>
    </row>
    <row r="45" spans="1:7" x14ac:dyDescent="0.35">
      <c r="C45" t="s">
        <v>49</v>
      </c>
      <c r="D45" s="7">
        <v>2</v>
      </c>
      <c r="E45" s="11">
        <v>2</v>
      </c>
    </row>
    <row r="46" spans="1:7" x14ac:dyDescent="0.35">
      <c r="C46" t="s">
        <v>50</v>
      </c>
      <c r="D46" s="7">
        <v>2</v>
      </c>
      <c r="E46" s="11">
        <v>2</v>
      </c>
    </row>
    <row r="47" spans="1:7" x14ac:dyDescent="0.35">
      <c r="B47" t="s">
        <v>51</v>
      </c>
      <c r="C47" t="s">
        <v>46</v>
      </c>
      <c r="D47" s="7">
        <v>0</v>
      </c>
      <c r="E47" s="11">
        <v>3</v>
      </c>
    </row>
    <row r="48" spans="1:7" x14ac:dyDescent="0.35">
      <c r="C48" t="s">
        <v>52</v>
      </c>
      <c r="D48" s="7">
        <v>3</v>
      </c>
      <c r="E48" s="11">
        <v>3</v>
      </c>
    </row>
    <row r="49" spans="1:10" x14ac:dyDescent="0.35">
      <c r="C49" t="s">
        <v>48</v>
      </c>
      <c r="D49" s="7">
        <v>3</v>
      </c>
      <c r="E49" s="11">
        <v>3</v>
      </c>
    </row>
    <row r="50" spans="1:10" x14ac:dyDescent="0.35">
      <c r="C50" t="s">
        <v>49</v>
      </c>
      <c r="D50" s="7">
        <v>3</v>
      </c>
      <c r="E50" s="11">
        <v>3</v>
      </c>
    </row>
    <row r="51" spans="1:10" x14ac:dyDescent="0.35">
      <c r="C51" t="s">
        <v>53</v>
      </c>
      <c r="D51" s="7">
        <v>0</v>
      </c>
      <c r="E51" s="11">
        <v>3</v>
      </c>
    </row>
    <row r="53" spans="1:10" x14ac:dyDescent="0.35">
      <c r="B53" t="s">
        <v>54</v>
      </c>
      <c r="D53" s="9">
        <f>SUM(D54:D56)</f>
        <v>4</v>
      </c>
      <c r="E53" s="11">
        <v>25</v>
      </c>
    </row>
    <row r="54" spans="1:10" x14ac:dyDescent="0.35">
      <c r="B54" t="s">
        <v>55</v>
      </c>
      <c r="C54" t="s">
        <v>56</v>
      </c>
      <c r="D54" s="7">
        <v>2</v>
      </c>
      <c r="E54" s="11">
        <v>10</v>
      </c>
      <c r="G54" t="s">
        <v>94</v>
      </c>
    </row>
    <row r="55" spans="1:10" x14ac:dyDescent="0.35">
      <c r="C55" t="s">
        <v>57</v>
      </c>
      <c r="D55" s="7">
        <v>0</v>
      </c>
      <c r="E55" s="11">
        <v>5</v>
      </c>
      <c r="G55" t="s">
        <v>95</v>
      </c>
    </row>
    <row r="56" spans="1:10" x14ac:dyDescent="0.35">
      <c r="C56" t="s">
        <v>58</v>
      </c>
      <c r="D56" s="7">
        <v>2</v>
      </c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/>
      </c>
      <c r="C62" s="18" t="str">
        <f t="shared" si="0"/>
        <v/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>X</v>
      </c>
      <c r="J62">
        <f>D11/E11</f>
        <v>0</v>
      </c>
    </row>
    <row r="63" spans="1:10" ht="39" x14ac:dyDescent="0.35">
      <c r="A63" s="30" t="s">
        <v>29</v>
      </c>
      <c r="B63" s="18" t="str">
        <f t="shared" si="0"/>
        <v/>
      </c>
      <c r="C63" s="18" t="str">
        <f t="shared" si="0"/>
        <v/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>X</v>
      </c>
      <c r="J63">
        <f t="shared" ref="J63:J67" si="1">D12/E12</f>
        <v>0.1</v>
      </c>
    </row>
    <row r="64" spans="1:10" ht="26" x14ac:dyDescent="0.35">
      <c r="A64" s="30" t="s">
        <v>5</v>
      </c>
      <c r="B64" s="18" t="str">
        <f t="shared" si="0"/>
        <v/>
      </c>
      <c r="C64" s="18" t="str">
        <f t="shared" si="0"/>
        <v>X</v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/>
      </c>
      <c r="J64">
        <f t="shared" si="1"/>
        <v>0.75</v>
      </c>
    </row>
    <row r="65" spans="1:10" ht="26" x14ac:dyDescent="0.35">
      <c r="A65" s="31" t="s">
        <v>6</v>
      </c>
      <c r="B65" s="18" t="str">
        <f t="shared" si="0"/>
        <v>X</v>
      </c>
      <c r="C65" s="18" t="str">
        <f t="shared" si="0"/>
        <v/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/>
      </c>
      <c r="J65">
        <f t="shared" si="1"/>
        <v>0.9</v>
      </c>
    </row>
    <row r="66" spans="1:10" x14ac:dyDescent="0.35">
      <c r="A66" s="31" t="s">
        <v>7</v>
      </c>
      <c r="B66" s="18" t="str">
        <f t="shared" si="0"/>
        <v/>
      </c>
      <c r="C66" s="18" t="str">
        <f t="shared" si="0"/>
        <v/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>X</v>
      </c>
      <c r="J66">
        <f t="shared" si="1"/>
        <v>0</v>
      </c>
    </row>
    <row r="67" spans="1:10" ht="15" thickBot="1" x14ac:dyDescent="0.4">
      <c r="A67" s="32" t="s">
        <v>8</v>
      </c>
      <c r="B67" s="20" t="str">
        <f t="shared" si="0"/>
        <v/>
      </c>
      <c r="C67" s="20" t="str">
        <f t="shared" si="0"/>
        <v/>
      </c>
      <c r="D67" s="20" t="str">
        <f t="shared" si="0"/>
        <v/>
      </c>
      <c r="E67" s="20" t="str">
        <f t="shared" si="0"/>
        <v>X</v>
      </c>
      <c r="F67" s="20" t="str">
        <f t="shared" si="0"/>
        <v/>
      </c>
      <c r="G67" s="20" t="str">
        <f t="shared" si="0"/>
        <v/>
      </c>
      <c r="H67" s="21" t="str">
        <f t="shared" si="0"/>
        <v/>
      </c>
      <c r="J67">
        <f t="shared" si="1"/>
        <v>0.5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/>
      </c>
      <c r="D69" s="16" t="str">
        <f t="shared" si="2"/>
        <v/>
      </c>
      <c r="E69" s="16" t="str">
        <f t="shared" si="2"/>
        <v/>
      </c>
      <c r="F69" s="16" t="str">
        <f t="shared" si="2"/>
        <v/>
      </c>
      <c r="G69" s="16" t="str">
        <f t="shared" si="2"/>
        <v/>
      </c>
      <c r="H69" s="17" t="str">
        <f t="shared" si="2"/>
        <v>X</v>
      </c>
      <c r="J69" s="24">
        <f>D19/E19</f>
        <v>0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/>
      </c>
      <c r="D70" s="18" t="str">
        <f t="shared" si="2"/>
        <v/>
      </c>
      <c r="E70" s="18" t="str">
        <f t="shared" si="2"/>
        <v/>
      </c>
      <c r="F70" s="18" t="str">
        <f t="shared" si="2"/>
        <v>X</v>
      </c>
      <c r="G70" s="18" t="str">
        <f t="shared" si="2"/>
        <v/>
      </c>
      <c r="H70" s="19" t="str">
        <f t="shared" si="2"/>
        <v/>
      </c>
      <c r="J70" s="24">
        <f t="shared" ref="J70:J71" si="3">D20/E20</f>
        <v>0.4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/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>X</v>
      </c>
      <c r="J71" s="24">
        <f t="shared" si="3"/>
        <v>0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>X</v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/>
      </c>
      <c r="J73" s="24">
        <f>D24/E24</f>
        <v>1</v>
      </c>
    </row>
    <row r="74" spans="1:10" ht="26" x14ac:dyDescent="0.35">
      <c r="A74" s="31" t="s">
        <v>9</v>
      </c>
      <c r="B74" s="18" t="str">
        <f t="shared" si="4"/>
        <v>X</v>
      </c>
      <c r="C74" s="18" t="str">
        <f t="shared" si="4"/>
        <v/>
      </c>
      <c r="D74" s="18" t="str">
        <f t="shared" si="4"/>
        <v/>
      </c>
      <c r="E74" s="18" t="str">
        <f t="shared" si="4"/>
        <v/>
      </c>
      <c r="F74" s="18" t="str">
        <f t="shared" si="4"/>
        <v/>
      </c>
      <c r="G74" s="18" t="str">
        <f t="shared" si="4"/>
        <v/>
      </c>
      <c r="H74" s="19" t="str">
        <f t="shared" si="4"/>
        <v/>
      </c>
      <c r="J74" s="24">
        <f t="shared" ref="J74:J80" si="5">D25/E25</f>
        <v>1</v>
      </c>
    </row>
    <row r="75" spans="1:10" ht="26" x14ac:dyDescent="0.35">
      <c r="A75" s="31" t="s">
        <v>10</v>
      </c>
      <c r="B75" s="18" t="str">
        <f t="shared" si="4"/>
        <v/>
      </c>
      <c r="C75" s="18" t="str">
        <f t="shared" si="4"/>
        <v>X</v>
      </c>
      <c r="D75" s="18" t="str">
        <f t="shared" si="4"/>
        <v/>
      </c>
      <c r="E75" s="18" t="str">
        <f t="shared" si="4"/>
        <v/>
      </c>
      <c r="F75" s="18" t="str">
        <f t="shared" si="4"/>
        <v/>
      </c>
      <c r="G75" s="18" t="str">
        <f t="shared" si="4"/>
        <v/>
      </c>
      <c r="H75" s="19" t="str">
        <f t="shared" si="4"/>
        <v/>
      </c>
      <c r="J75" s="24">
        <f t="shared" si="5"/>
        <v>0.75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/>
      </c>
      <c r="D76" s="18" t="str">
        <f t="shared" si="4"/>
        <v/>
      </c>
      <c r="E76" s="18" t="str">
        <f t="shared" si="4"/>
        <v/>
      </c>
      <c r="F76" s="18" t="str">
        <f t="shared" si="4"/>
        <v/>
      </c>
      <c r="G76" s="18" t="str">
        <f t="shared" si="4"/>
        <v/>
      </c>
      <c r="H76" s="19" t="str">
        <f t="shared" si="4"/>
        <v>X</v>
      </c>
      <c r="J76" s="24">
        <f t="shared" si="5"/>
        <v>0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/>
      </c>
      <c r="D77" s="18" t="str">
        <f t="shared" si="4"/>
        <v/>
      </c>
      <c r="E77" s="18" t="str">
        <f t="shared" si="4"/>
        <v/>
      </c>
      <c r="F77" s="18" t="str">
        <f t="shared" si="4"/>
        <v>X</v>
      </c>
      <c r="G77" s="18" t="str">
        <f t="shared" si="4"/>
        <v/>
      </c>
      <c r="H77" s="19" t="str">
        <f t="shared" si="4"/>
        <v/>
      </c>
      <c r="J77" s="24">
        <f t="shared" si="5"/>
        <v>0.4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/>
      </c>
      <c r="D78" s="18" t="str">
        <f t="shared" si="4"/>
        <v/>
      </c>
      <c r="E78" s="18" t="str">
        <f t="shared" si="4"/>
        <v/>
      </c>
      <c r="F78" s="18" t="str">
        <f t="shared" si="4"/>
        <v>X</v>
      </c>
      <c r="G78" s="18" t="str">
        <f t="shared" si="4"/>
        <v/>
      </c>
      <c r="H78" s="19" t="str">
        <f t="shared" si="4"/>
        <v/>
      </c>
      <c r="J78" s="24">
        <f t="shared" si="5"/>
        <v>0.4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/>
      </c>
      <c r="D79" s="18" t="str">
        <f t="shared" si="4"/>
        <v/>
      </c>
      <c r="E79" s="18" t="str">
        <f t="shared" si="4"/>
        <v/>
      </c>
      <c r="F79" s="18" t="str">
        <f t="shared" si="4"/>
        <v>X</v>
      </c>
      <c r="G79" s="18" t="str">
        <f t="shared" si="4"/>
        <v/>
      </c>
      <c r="H79" s="19" t="str">
        <f t="shared" si="4"/>
        <v/>
      </c>
      <c r="J79" s="24">
        <f t="shared" si="5"/>
        <v>0.4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/>
      </c>
      <c r="D80" s="20" t="str">
        <f t="shared" si="4"/>
        <v/>
      </c>
      <c r="E80" s="20" t="str">
        <f t="shared" si="4"/>
        <v/>
      </c>
      <c r="F80" s="20" t="str">
        <f t="shared" si="4"/>
        <v/>
      </c>
      <c r="G80" s="20" t="str">
        <f t="shared" si="4"/>
        <v/>
      </c>
      <c r="H80" s="21" t="str">
        <f t="shared" si="4"/>
        <v>X</v>
      </c>
      <c r="J80" s="24">
        <f t="shared" si="5"/>
        <v>0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/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>X</v>
      </c>
      <c r="G82" s="16" t="str">
        <f t="shared" si="6"/>
        <v/>
      </c>
      <c r="H82" s="17" t="str">
        <f t="shared" si="6"/>
        <v/>
      </c>
      <c r="J82" s="24">
        <f>D35/E35</f>
        <v>0.4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>X</v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/>
      </c>
      <c r="H83" s="19" t="str">
        <f t="shared" si="6"/>
        <v/>
      </c>
      <c r="J83" s="24">
        <f>D41/E41</f>
        <v>0.76</v>
      </c>
    </row>
    <row r="84" spans="1:10" ht="15" thickBot="1" x14ac:dyDescent="0.4">
      <c r="A84" s="34" t="s">
        <v>54</v>
      </c>
      <c r="B84" s="22" t="str">
        <f t="shared" si="6"/>
        <v/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/>
      </c>
      <c r="G84" s="22" t="str">
        <f t="shared" si="6"/>
        <v/>
      </c>
      <c r="H84" s="23" t="str">
        <f t="shared" si="6"/>
        <v>X</v>
      </c>
      <c r="J84" s="24">
        <f>D53/E53</f>
        <v>0.16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3326C-AF93-468D-B8AC-63627F3D2690}">
  <dimension ref="A1:J88"/>
  <sheetViews>
    <sheetView workbookViewId="0">
      <selection activeCell="A3" sqref="A3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B1" t="s">
        <v>102</v>
      </c>
      <c r="D1" t="s">
        <v>3</v>
      </c>
      <c r="E1">
        <f>D8</f>
        <v>35</v>
      </c>
      <c r="G1">
        <f>D3</f>
        <v>89</v>
      </c>
      <c r="H1">
        <f>D4</f>
        <v>15</v>
      </c>
      <c r="I1">
        <f>D5</f>
        <v>11</v>
      </c>
      <c r="J1">
        <f>D6</f>
        <v>21.333333333333332</v>
      </c>
    </row>
    <row r="2" spans="1:10" x14ac:dyDescent="0.35">
      <c r="A2">
        <v>1000002</v>
      </c>
    </row>
    <row r="3" spans="1:10" x14ac:dyDescent="0.35">
      <c r="A3" t="s">
        <v>21</v>
      </c>
      <c r="D3" s="9">
        <f>D10</f>
        <v>89</v>
      </c>
    </row>
    <row r="4" spans="1:10" x14ac:dyDescent="0.35">
      <c r="A4" t="s">
        <v>23</v>
      </c>
      <c r="D4" s="9">
        <f>D18</f>
        <v>15</v>
      </c>
    </row>
    <row r="5" spans="1:10" x14ac:dyDescent="0.35">
      <c r="A5" t="s">
        <v>25</v>
      </c>
      <c r="D5" s="9">
        <f>D23</f>
        <v>11</v>
      </c>
    </row>
    <row r="6" spans="1:10" x14ac:dyDescent="0.35">
      <c r="A6" t="s">
        <v>24</v>
      </c>
      <c r="D6" s="9">
        <f>D33</f>
        <v>21.333333333333332</v>
      </c>
    </row>
    <row r="7" spans="1:10" x14ac:dyDescent="0.35">
      <c r="A7" t="s">
        <v>26</v>
      </c>
      <c r="D7" s="9">
        <f>SUM(D3:D6)</f>
        <v>136.33333333333334</v>
      </c>
    </row>
    <row r="8" spans="1:10" x14ac:dyDescent="0.35">
      <c r="A8" t="s">
        <v>27</v>
      </c>
      <c r="D8" s="9">
        <f>ROUNDUP(D7/4,0)</f>
        <v>35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89</v>
      </c>
      <c r="E10" s="11">
        <f>SUM(E11:E16)</f>
        <v>100</v>
      </c>
    </row>
    <row r="11" spans="1:10" x14ac:dyDescent="0.35">
      <c r="B11" t="s">
        <v>28</v>
      </c>
      <c r="D11" s="7">
        <v>9</v>
      </c>
      <c r="E11" s="11">
        <v>10</v>
      </c>
    </row>
    <row r="12" spans="1:10" x14ac:dyDescent="0.35">
      <c r="B12" t="s">
        <v>29</v>
      </c>
      <c r="D12" s="7">
        <v>18</v>
      </c>
      <c r="E12" s="11">
        <v>20</v>
      </c>
    </row>
    <row r="13" spans="1:10" x14ac:dyDescent="0.35">
      <c r="B13" t="s">
        <v>5</v>
      </c>
      <c r="D13" s="7">
        <v>18</v>
      </c>
      <c r="E13" s="11">
        <v>20</v>
      </c>
    </row>
    <row r="14" spans="1:10" x14ac:dyDescent="0.35">
      <c r="B14" t="s">
        <v>6</v>
      </c>
      <c r="D14" s="7">
        <v>26</v>
      </c>
      <c r="E14" s="11">
        <v>30</v>
      </c>
    </row>
    <row r="15" spans="1:10" x14ac:dyDescent="0.35">
      <c r="B15" t="s">
        <v>7</v>
      </c>
      <c r="D15" s="7">
        <v>9</v>
      </c>
      <c r="E15" s="11">
        <v>10</v>
      </c>
    </row>
    <row r="16" spans="1:10" x14ac:dyDescent="0.35">
      <c r="B16" t="s">
        <v>8</v>
      </c>
      <c r="D16" s="7">
        <v>9</v>
      </c>
      <c r="E16" s="11">
        <v>10</v>
      </c>
    </row>
    <row r="18" spans="1:7" x14ac:dyDescent="0.35">
      <c r="A18" t="str">
        <f>A4</f>
        <v>2. Zoo Design [25%]</v>
      </c>
      <c r="D18" s="9">
        <f>SUM(D19:D21)</f>
        <v>15</v>
      </c>
      <c r="E18" s="11">
        <f>SUM(E19:E21)</f>
        <v>100</v>
      </c>
    </row>
    <row r="19" spans="1:7" x14ac:dyDescent="0.35">
      <c r="B19" t="s">
        <v>30</v>
      </c>
      <c r="D19" s="7">
        <v>5</v>
      </c>
      <c r="E19" s="11">
        <v>30</v>
      </c>
    </row>
    <row r="20" spans="1:7" x14ac:dyDescent="0.35">
      <c r="B20" t="s">
        <v>31</v>
      </c>
      <c r="D20" s="7">
        <v>10</v>
      </c>
      <c r="E20" s="11">
        <v>50</v>
      </c>
    </row>
    <row r="21" spans="1:7" x14ac:dyDescent="0.35">
      <c r="B21" t="s">
        <v>32</v>
      </c>
      <c r="D21" s="7">
        <v>0</v>
      </c>
      <c r="E21" s="11">
        <v>20</v>
      </c>
    </row>
    <row r="23" spans="1:7" x14ac:dyDescent="0.35">
      <c r="A23" t="str">
        <f>A5</f>
        <v>3. Zoo Application [25%]</v>
      </c>
      <c r="D23" s="8">
        <f>SUM(D24:D31)</f>
        <v>11</v>
      </c>
      <c r="E23" s="11">
        <f>SUM(E24:E30)</f>
        <v>80</v>
      </c>
    </row>
    <row r="24" spans="1:7" x14ac:dyDescent="0.35">
      <c r="B24" t="s">
        <v>33</v>
      </c>
      <c r="D24" s="7">
        <v>0</v>
      </c>
      <c r="E24" s="11">
        <v>10</v>
      </c>
    </row>
    <row r="25" spans="1:7" x14ac:dyDescent="0.35">
      <c r="B25" t="s">
        <v>9</v>
      </c>
      <c r="D25" s="7">
        <v>5</v>
      </c>
      <c r="E25" s="11">
        <v>10</v>
      </c>
      <c r="G25" t="s">
        <v>96</v>
      </c>
    </row>
    <row r="26" spans="1:7" x14ac:dyDescent="0.35">
      <c r="B26" t="s">
        <v>10</v>
      </c>
      <c r="D26" s="7">
        <v>4</v>
      </c>
      <c r="E26" s="11">
        <v>20</v>
      </c>
      <c r="G26" t="s">
        <v>97</v>
      </c>
    </row>
    <row r="27" spans="1:7" x14ac:dyDescent="0.35">
      <c r="B27" t="s">
        <v>34</v>
      </c>
      <c r="D27" s="7">
        <v>0</v>
      </c>
      <c r="E27" s="11">
        <v>10</v>
      </c>
    </row>
    <row r="28" spans="1:7" x14ac:dyDescent="0.35">
      <c r="B28" t="s">
        <v>35</v>
      </c>
      <c r="D28" s="7">
        <v>0</v>
      </c>
      <c r="E28" s="11">
        <v>10</v>
      </c>
    </row>
    <row r="29" spans="1:7" x14ac:dyDescent="0.35">
      <c r="B29" t="s">
        <v>36</v>
      </c>
      <c r="D29" s="7">
        <v>2</v>
      </c>
      <c r="E29" s="11">
        <v>10</v>
      </c>
    </row>
    <row r="30" spans="1:7" x14ac:dyDescent="0.35">
      <c r="B30" t="s">
        <v>37</v>
      </c>
      <c r="D30" s="7">
        <v>0</v>
      </c>
      <c r="E30" s="11">
        <v>10</v>
      </c>
    </row>
    <row r="31" spans="1:7" x14ac:dyDescent="0.35">
      <c r="B31" t="s">
        <v>38</v>
      </c>
      <c r="D31" s="7">
        <v>0</v>
      </c>
      <c r="E31" s="11">
        <v>20</v>
      </c>
    </row>
    <row r="33" spans="1:5" x14ac:dyDescent="0.35">
      <c r="A33" t="str">
        <f>A6</f>
        <v>4 Assessment Exercises [25%]</v>
      </c>
      <c r="D33" s="9">
        <f>D34*4/3</f>
        <v>21.333333333333332</v>
      </c>
      <c r="E33" s="11">
        <v>100</v>
      </c>
    </row>
    <row r="34" spans="1:5" x14ac:dyDescent="0.35">
      <c r="D34" s="9">
        <f>SUM(D35,D41,D53)</f>
        <v>16</v>
      </c>
      <c r="E34" s="11">
        <v>75</v>
      </c>
    </row>
    <row r="35" spans="1:5" x14ac:dyDescent="0.35">
      <c r="B35" t="s">
        <v>39</v>
      </c>
      <c r="D35" s="9">
        <f>SUM(D36:D39)</f>
        <v>0</v>
      </c>
      <c r="E35" s="11">
        <f>SUM(E36:E39)</f>
        <v>25</v>
      </c>
    </row>
    <row r="36" spans="1:5" x14ac:dyDescent="0.35">
      <c r="C36" t="s">
        <v>40</v>
      </c>
      <c r="D36" s="7">
        <v>0</v>
      </c>
      <c r="E36" s="11">
        <v>5</v>
      </c>
    </row>
    <row r="37" spans="1:5" x14ac:dyDescent="0.35">
      <c r="C37" t="s">
        <v>41</v>
      </c>
      <c r="D37" s="7">
        <v>0</v>
      </c>
      <c r="E37" s="11">
        <v>5</v>
      </c>
    </row>
    <row r="38" spans="1:5" x14ac:dyDescent="0.35">
      <c r="C38" t="s">
        <v>42</v>
      </c>
      <c r="D38" s="7">
        <v>0</v>
      </c>
      <c r="E38" s="11">
        <v>5</v>
      </c>
    </row>
    <row r="39" spans="1:5" x14ac:dyDescent="0.35">
      <c r="C39" t="s">
        <v>43</v>
      </c>
      <c r="D39" s="7">
        <v>0</v>
      </c>
      <c r="E39" s="11">
        <v>10</v>
      </c>
    </row>
    <row r="41" spans="1:5" x14ac:dyDescent="0.35">
      <c r="B41" t="s">
        <v>44</v>
      </c>
      <c r="D41" s="9">
        <f>SUM(D42:D51)</f>
        <v>6</v>
      </c>
      <c r="E41" s="11">
        <f>SUM(E42:E51)</f>
        <v>25</v>
      </c>
    </row>
    <row r="42" spans="1:5" x14ac:dyDescent="0.35">
      <c r="B42" t="s">
        <v>45</v>
      </c>
      <c r="C42" t="s">
        <v>46</v>
      </c>
      <c r="D42" s="7">
        <v>0</v>
      </c>
      <c r="E42" s="11">
        <v>2</v>
      </c>
    </row>
    <row r="43" spans="1:5" x14ac:dyDescent="0.35">
      <c r="C43" t="s">
        <v>47</v>
      </c>
      <c r="D43" s="7">
        <v>0</v>
      </c>
      <c r="E43" s="11">
        <v>2</v>
      </c>
    </row>
    <row r="44" spans="1:5" x14ac:dyDescent="0.35">
      <c r="C44" t="s">
        <v>48</v>
      </c>
      <c r="D44" s="7">
        <v>0</v>
      </c>
      <c r="E44" s="11">
        <v>2</v>
      </c>
    </row>
    <row r="45" spans="1:5" x14ac:dyDescent="0.35">
      <c r="C45" t="s">
        <v>49</v>
      </c>
      <c r="D45" s="7">
        <v>0</v>
      </c>
      <c r="E45" s="11">
        <v>2</v>
      </c>
    </row>
    <row r="46" spans="1:5" x14ac:dyDescent="0.35">
      <c r="C46" t="s">
        <v>50</v>
      </c>
      <c r="D46" s="7">
        <v>0</v>
      </c>
      <c r="E46" s="11">
        <v>2</v>
      </c>
    </row>
    <row r="47" spans="1:5" x14ac:dyDescent="0.35">
      <c r="B47" t="s">
        <v>51</v>
      </c>
      <c r="C47" t="s">
        <v>46</v>
      </c>
      <c r="D47" s="7">
        <v>3</v>
      </c>
      <c r="E47" s="11">
        <v>3</v>
      </c>
    </row>
    <row r="48" spans="1:5" x14ac:dyDescent="0.35">
      <c r="C48" t="s">
        <v>52</v>
      </c>
      <c r="D48" s="7">
        <v>0</v>
      </c>
      <c r="E48" s="11">
        <v>3</v>
      </c>
    </row>
    <row r="49" spans="1:10" x14ac:dyDescent="0.35">
      <c r="C49" t="s">
        <v>48</v>
      </c>
      <c r="D49" s="7">
        <v>3</v>
      </c>
      <c r="E49" s="11">
        <v>3</v>
      </c>
    </row>
    <row r="50" spans="1:10" x14ac:dyDescent="0.35">
      <c r="C50" t="s">
        <v>49</v>
      </c>
      <c r="D50" s="7">
        <v>0</v>
      </c>
      <c r="E50" s="11">
        <v>3</v>
      </c>
    </row>
    <row r="51" spans="1:10" x14ac:dyDescent="0.35">
      <c r="C51" t="s">
        <v>53</v>
      </c>
      <c r="D51" s="7">
        <v>0</v>
      </c>
      <c r="E51" s="11">
        <v>3</v>
      </c>
    </row>
    <row r="53" spans="1:10" x14ac:dyDescent="0.35">
      <c r="B53" t="s">
        <v>54</v>
      </c>
      <c r="D53" s="9">
        <f>SUM(D54:D56)</f>
        <v>10</v>
      </c>
      <c r="E53" s="11">
        <v>25</v>
      </c>
    </row>
    <row r="54" spans="1:10" x14ac:dyDescent="0.35">
      <c r="B54" t="s">
        <v>55</v>
      </c>
      <c r="C54" t="s">
        <v>56</v>
      </c>
      <c r="D54" s="7">
        <v>6</v>
      </c>
      <c r="E54" s="11">
        <v>10</v>
      </c>
    </row>
    <row r="55" spans="1:10" x14ac:dyDescent="0.35">
      <c r="C55" t="s">
        <v>57</v>
      </c>
      <c r="D55" s="7">
        <v>0</v>
      </c>
      <c r="E55" s="11">
        <v>5</v>
      </c>
    </row>
    <row r="56" spans="1:10" x14ac:dyDescent="0.35">
      <c r="C56" t="s">
        <v>58</v>
      </c>
      <c r="D56" s="7">
        <v>4</v>
      </c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>X</v>
      </c>
      <c r="C62" s="18" t="str">
        <f t="shared" si="0"/>
        <v/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/>
      </c>
      <c r="J62">
        <f>D11/E11</f>
        <v>0.9</v>
      </c>
    </row>
    <row r="63" spans="1:10" ht="39" x14ac:dyDescent="0.35">
      <c r="A63" s="30" t="s">
        <v>29</v>
      </c>
      <c r="B63" s="18" t="str">
        <f t="shared" si="0"/>
        <v>X</v>
      </c>
      <c r="C63" s="18" t="str">
        <f t="shared" si="0"/>
        <v/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/>
      </c>
      <c r="J63">
        <f t="shared" ref="J63:J67" si="1">D12/E12</f>
        <v>0.9</v>
      </c>
    </row>
    <row r="64" spans="1:10" ht="26" x14ac:dyDescent="0.35">
      <c r="A64" s="30" t="s">
        <v>5</v>
      </c>
      <c r="B64" s="18" t="str">
        <f t="shared" si="0"/>
        <v>X</v>
      </c>
      <c r="C64" s="18" t="str">
        <f t="shared" si="0"/>
        <v/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/>
      </c>
      <c r="J64">
        <f t="shared" si="1"/>
        <v>0.9</v>
      </c>
    </row>
    <row r="65" spans="1:10" ht="26" x14ac:dyDescent="0.35">
      <c r="A65" s="31" t="s">
        <v>6</v>
      </c>
      <c r="B65" s="18" t="str">
        <f t="shared" si="0"/>
        <v>X</v>
      </c>
      <c r="C65" s="18" t="str">
        <f t="shared" si="0"/>
        <v/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/>
      </c>
      <c r="J65">
        <f t="shared" si="1"/>
        <v>0.8666666666666667</v>
      </c>
    </row>
    <row r="66" spans="1:10" x14ac:dyDescent="0.35">
      <c r="A66" s="31" t="s">
        <v>7</v>
      </c>
      <c r="B66" s="18" t="str">
        <f t="shared" si="0"/>
        <v>X</v>
      </c>
      <c r="C66" s="18" t="str">
        <f t="shared" si="0"/>
        <v/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/>
      </c>
      <c r="J66">
        <f t="shared" si="1"/>
        <v>0.9</v>
      </c>
    </row>
    <row r="67" spans="1:10" ht="15" thickBot="1" x14ac:dyDescent="0.4">
      <c r="A67" s="32" t="s">
        <v>8</v>
      </c>
      <c r="B67" s="20" t="str">
        <f t="shared" si="0"/>
        <v>X</v>
      </c>
      <c r="C67" s="20" t="str">
        <f t="shared" si="0"/>
        <v/>
      </c>
      <c r="D67" s="20" t="str">
        <f t="shared" si="0"/>
        <v/>
      </c>
      <c r="E67" s="20" t="str">
        <f t="shared" si="0"/>
        <v/>
      </c>
      <c r="F67" s="20" t="str">
        <f t="shared" si="0"/>
        <v/>
      </c>
      <c r="G67" s="20" t="str">
        <f t="shared" si="0"/>
        <v/>
      </c>
      <c r="H67" s="21" t="str">
        <f t="shared" si="0"/>
        <v/>
      </c>
      <c r="J67">
        <f t="shared" si="1"/>
        <v>0.9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/>
      </c>
      <c r="D69" s="16" t="str">
        <f t="shared" si="2"/>
        <v/>
      </c>
      <c r="E69" s="16" t="str">
        <f t="shared" si="2"/>
        <v/>
      </c>
      <c r="F69" s="16" t="str">
        <f t="shared" si="2"/>
        <v/>
      </c>
      <c r="G69" s="16" t="str">
        <f t="shared" si="2"/>
        <v/>
      </c>
      <c r="H69" s="17" t="str">
        <f t="shared" si="2"/>
        <v>X</v>
      </c>
      <c r="J69" s="24">
        <f>D19/E19</f>
        <v>0.16666666666666666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/>
      </c>
      <c r="D70" s="18" t="str">
        <f t="shared" si="2"/>
        <v/>
      </c>
      <c r="E70" s="18" t="str">
        <f t="shared" si="2"/>
        <v/>
      </c>
      <c r="F70" s="18" t="str">
        <f t="shared" si="2"/>
        <v/>
      </c>
      <c r="G70" s="18" t="str">
        <f t="shared" si="2"/>
        <v>X</v>
      </c>
      <c r="H70" s="19" t="str">
        <f t="shared" si="2"/>
        <v/>
      </c>
      <c r="J70" s="24">
        <f t="shared" ref="J70:J71" si="3">D20/E20</f>
        <v>0.2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/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>X</v>
      </c>
      <c r="J71" s="24">
        <f t="shared" si="3"/>
        <v>0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/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>X</v>
      </c>
      <c r="J73" s="24">
        <f>D24/E24</f>
        <v>0</v>
      </c>
    </row>
    <row r="74" spans="1:10" ht="26" x14ac:dyDescent="0.35">
      <c r="A74" s="31" t="s">
        <v>9</v>
      </c>
      <c r="B74" s="18" t="str">
        <f t="shared" si="4"/>
        <v/>
      </c>
      <c r="C74" s="18" t="str">
        <f t="shared" si="4"/>
        <v/>
      </c>
      <c r="D74" s="18" t="str">
        <f t="shared" si="4"/>
        <v/>
      </c>
      <c r="E74" s="18" t="str">
        <f t="shared" si="4"/>
        <v>X</v>
      </c>
      <c r="F74" s="18" t="str">
        <f t="shared" si="4"/>
        <v/>
      </c>
      <c r="G74" s="18" t="str">
        <f t="shared" si="4"/>
        <v/>
      </c>
      <c r="H74" s="19" t="str">
        <f t="shared" si="4"/>
        <v/>
      </c>
      <c r="J74" s="24">
        <f t="shared" ref="J74:J80" si="5">D25/E25</f>
        <v>0.5</v>
      </c>
    </row>
    <row r="75" spans="1:10" ht="26" x14ac:dyDescent="0.35">
      <c r="A75" s="31" t="s">
        <v>10</v>
      </c>
      <c r="B75" s="18" t="str">
        <f t="shared" si="4"/>
        <v/>
      </c>
      <c r="C75" s="18" t="str">
        <f t="shared" si="4"/>
        <v/>
      </c>
      <c r="D75" s="18" t="str">
        <f t="shared" si="4"/>
        <v/>
      </c>
      <c r="E75" s="18" t="str">
        <f t="shared" si="4"/>
        <v/>
      </c>
      <c r="F75" s="18" t="str">
        <f t="shared" si="4"/>
        <v/>
      </c>
      <c r="G75" s="18" t="str">
        <f t="shared" si="4"/>
        <v>X</v>
      </c>
      <c r="H75" s="19" t="str">
        <f t="shared" si="4"/>
        <v/>
      </c>
      <c r="J75" s="24">
        <f t="shared" si="5"/>
        <v>0.2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/>
      </c>
      <c r="D76" s="18" t="str">
        <f t="shared" si="4"/>
        <v/>
      </c>
      <c r="E76" s="18" t="str">
        <f t="shared" si="4"/>
        <v/>
      </c>
      <c r="F76" s="18" t="str">
        <f t="shared" si="4"/>
        <v/>
      </c>
      <c r="G76" s="18" t="str">
        <f t="shared" si="4"/>
        <v/>
      </c>
      <c r="H76" s="19" t="str">
        <f t="shared" si="4"/>
        <v>X</v>
      </c>
      <c r="J76" s="24">
        <f t="shared" si="5"/>
        <v>0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/>
      </c>
      <c r="D77" s="18" t="str">
        <f t="shared" si="4"/>
        <v/>
      </c>
      <c r="E77" s="18" t="str">
        <f t="shared" si="4"/>
        <v/>
      </c>
      <c r="F77" s="18" t="str">
        <f t="shared" si="4"/>
        <v/>
      </c>
      <c r="G77" s="18" t="str">
        <f t="shared" si="4"/>
        <v/>
      </c>
      <c r="H77" s="19" t="str">
        <f t="shared" si="4"/>
        <v>X</v>
      </c>
      <c r="J77" s="24">
        <f t="shared" si="5"/>
        <v>0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/>
      </c>
      <c r="D78" s="18" t="str">
        <f t="shared" si="4"/>
        <v/>
      </c>
      <c r="E78" s="18" t="str">
        <f t="shared" si="4"/>
        <v/>
      </c>
      <c r="F78" s="18" t="str">
        <f t="shared" si="4"/>
        <v/>
      </c>
      <c r="G78" s="18" t="str">
        <f t="shared" si="4"/>
        <v>X</v>
      </c>
      <c r="H78" s="19" t="str">
        <f t="shared" si="4"/>
        <v/>
      </c>
      <c r="J78" s="24">
        <f t="shared" si="5"/>
        <v>0.2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/>
      </c>
      <c r="D79" s="18" t="str">
        <f t="shared" si="4"/>
        <v/>
      </c>
      <c r="E79" s="18" t="str">
        <f t="shared" si="4"/>
        <v/>
      </c>
      <c r="F79" s="18" t="str">
        <f t="shared" si="4"/>
        <v/>
      </c>
      <c r="G79" s="18" t="str">
        <f t="shared" si="4"/>
        <v/>
      </c>
      <c r="H79" s="19" t="str">
        <f t="shared" si="4"/>
        <v>X</v>
      </c>
      <c r="J79" s="24">
        <f t="shared" si="5"/>
        <v>0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/>
      </c>
      <c r="D80" s="20" t="str">
        <f t="shared" si="4"/>
        <v/>
      </c>
      <c r="E80" s="20" t="str">
        <f t="shared" si="4"/>
        <v/>
      </c>
      <c r="F80" s="20" t="str">
        <f t="shared" si="4"/>
        <v/>
      </c>
      <c r="G80" s="20" t="str">
        <f t="shared" si="4"/>
        <v/>
      </c>
      <c r="H80" s="21" t="str">
        <f t="shared" si="4"/>
        <v>X</v>
      </c>
      <c r="J80" s="24">
        <f t="shared" si="5"/>
        <v>0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/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/>
      </c>
      <c r="G82" s="16" t="str">
        <f t="shared" si="6"/>
        <v/>
      </c>
      <c r="H82" s="17" t="str">
        <f t="shared" si="6"/>
        <v>X</v>
      </c>
      <c r="J82" s="24">
        <f>D35/E35</f>
        <v>0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/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>X</v>
      </c>
      <c r="H83" s="19" t="str">
        <f t="shared" si="6"/>
        <v/>
      </c>
      <c r="J83" s="24">
        <f>D41/E41</f>
        <v>0.24</v>
      </c>
    </row>
    <row r="84" spans="1:10" ht="15" thickBot="1" x14ac:dyDescent="0.4">
      <c r="A84" s="34" t="s">
        <v>54</v>
      </c>
      <c r="B84" s="22" t="str">
        <f t="shared" si="6"/>
        <v/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>X</v>
      </c>
      <c r="G84" s="22" t="str">
        <f t="shared" si="6"/>
        <v/>
      </c>
      <c r="H84" s="23" t="str">
        <f t="shared" si="6"/>
        <v/>
      </c>
      <c r="J84" s="24">
        <f>D53/E53</f>
        <v>0.4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3AE80-CC48-444F-9080-F7817D40DEFA}">
  <dimension ref="A1:J88"/>
  <sheetViews>
    <sheetView workbookViewId="0">
      <selection activeCell="A3" sqref="A3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B1" t="s">
        <v>103</v>
      </c>
      <c r="D1" t="s">
        <v>3</v>
      </c>
      <c r="E1">
        <f>D8</f>
        <v>49</v>
      </c>
      <c r="G1">
        <f>D3</f>
        <v>74</v>
      </c>
      <c r="H1">
        <f>D4</f>
        <v>75</v>
      </c>
      <c r="I1">
        <f>D5</f>
        <v>38</v>
      </c>
      <c r="J1">
        <f>D6</f>
        <v>8</v>
      </c>
    </row>
    <row r="2" spans="1:10" x14ac:dyDescent="0.35">
      <c r="A2">
        <v>1000003</v>
      </c>
    </row>
    <row r="3" spans="1:10" x14ac:dyDescent="0.35">
      <c r="A3" t="s">
        <v>21</v>
      </c>
      <c r="D3" s="9">
        <f>D10</f>
        <v>74</v>
      </c>
    </row>
    <row r="4" spans="1:10" x14ac:dyDescent="0.35">
      <c r="A4" t="s">
        <v>23</v>
      </c>
      <c r="D4" s="9">
        <f>D18</f>
        <v>75</v>
      </c>
    </row>
    <row r="5" spans="1:10" x14ac:dyDescent="0.35">
      <c r="A5" t="s">
        <v>25</v>
      </c>
      <c r="D5" s="9">
        <f>D23</f>
        <v>38</v>
      </c>
    </row>
    <row r="6" spans="1:10" x14ac:dyDescent="0.35">
      <c r="A6" t="s">
        <v>24</v>
      </c>
      <c r="D6" s="9">
        <f>D33</f>
        <v>8</v>
      </c>
    </row>
    <row r="7" spans="1:10" x14ac:dyDescent="0.35">
      <c r="A7" t="s">
        <v>26</v>
      </c>
      <c r="D7" s="9">
        <f>SUM(D3:D6)</f>
        <v>195</v>
      </c>
    </row>
    <row r="8" spans="1:10" x14ac:dyDescent="0.35">
      <c r="A8" t="s">
        <v>27</v>
      </c>
      <c r="D8" s="9">
        <f>ROUNDUP(D7/4,0)</f>
        <v>49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74</v>
      </c>
      <c r="E10" s="11">
        <f>SUM(E11:E16)</f>
        <v>100</v>
      </c>
    </row>
    <row r="11" spans="1:10" x14ac:dyDescent="0.35">
      <c r="B11" t="s">
        <v>28</v>
      </c>
      <c r="D11" s="7">
        <v>7</v>
      </c>
      <c r="E11" s="11">
        <v>10</v>
      </c>
    </row>
    <row r="12" spans="1:10" x14ac:dyDescent="0.35">
      <c r="B12" t="s">
        <v>29</v>
      </c>
      <c r="D12" s="7">
        <v>16</v>
      </c>
      <c r="E12" s="11">
        <v>20</v>
      </c>
    </row>
    <row r="13" spans="1:10" x14ac:dyDescent="0.35">
      <c r="B13" t="s">
        <v>5</v>
      </c>
      <c r="D13" s="7">
        <v>12</v>
      </c>
      <c r="E13" s="11">
        <v>20</v>
      </c>
    </row>
    <row r="14" spans="1:10" x14ac:dyDescent="0.35">
      <c r="B14" t="s">
        <v>6</v>
      </c>
      <c r="D14" s="7">
        <v>26</v>
      </c>
      <c r="E14" s="11">
        <v>30</v>
      </c>
    </row>
    <row r="15" spans="1:10" x14ac:dyDescent="0.35">
      <c r="B15" t="s">
        <v>7</v>
      </c>
      <c r="D15" s="7">
        <v>6</v>
      </c>
      <c r="E15" s="11">
        <v>10</v>
      </c>
    </row>
    <row r="16" spans="1:10" x14ac:dyDescent="0.35">
      <c r="B16" t="s">
        <v>8</v>
      </c>
      <c r="D16" s="7">
        <v>7</v>
      </c>
      <c r="E16" s="11">
        <v>10</v>
      </c>
    </row>
    <row r="18" spans="1:5" x14ac:dyDescent="0.35">
      <c r="A18" t="str">
        <f>A4</f>
        <v>2. Zoo Design [25%]</v>
      </c>
      <c r="D18" s="9">
        <f>SUM(D19:D21)</f>
        <v>75</v>
      </c>
      <c r="E18" s="11">
        <f>SUM(E19:E21)</f>
        <v>100</v>
      </c>
    </row>
    <row r="19" spans="1:5" x14ac:dyDescent="0.35">
      <c r="B19" t="s">
        <v>30</v>
      </c>
      <c r="D19" s="7">
        <v>20</v>
      </c>
      <c r="E19" s="11">
        <v>30</v>
      </c>
    </row>
    <row r="20" spans="1:5" x14ac:dyDescent="0.35">
      <c r="B20" t="s">
        <v>31</v>
      </c>
      <c r="D20" s="7">
        <v>40</v>
      </c>
      <c r="E20" s="11">
        <v>50</v>
      </c>
    </row>
    <row r="21" spans="1:5" x14ac:dyDescent="0.35">
      <c r="B21" t="s">
        <v>32</v>
      </c>
      <c r="D21" s="7">
        <v>15</v>
      </c>
      <c r="E21" s="11">
        <v>20</v>
      </c>
    </row>
    <row r="23" spans="1:5" x14ac:dyDescent="0.35">
      <c r="A23" t="str">
        <f>A5</f>
        <v>3. Zoo Application [25%]</v>
      </c>
      <c r="D23" s="8">
        <f>SUM(D24:D31)</f>
        <v>38</v>
      </c>
      <c r="E23" s="11">
        <f>SUM(E24:E30)</f>
        <v>80</v>
      </c>
    </row>
    <row r="24" spans="1:5" x14ac:dyDescent="0.35">
      <c r="B24" t="s">
        <v>33</v>
      </c>
      <c r="D24" s="7">
        <v>10</v>
      </c>
      <c r="E24" s="11">
        <v>10</v>
      </c>
    </row>
    <row r="25" spans="1:5" x14ac:dyDescent="0.35">
      <c r="B25" t="s">
        <v>9</v>
      </c>
      <c r="D25" s="7">
        <v>10</v>
      </c>
      <c r="E25" s="11">
        <v>10</v>
      </c>
    </row>
    <row r="26" spans="1:5" x14ac:dyDescent="0.35">
      <c r="B26" t="s">
        <v>10</v>
      </c>
      <c r="D26" s="7">
        <v>10</v>
      </c>
      <c r="E26" s="11">
        <v>20</v>
      </c>
    </row>
    <row r="27" spans="1:5" x14ac:dyDescent="0.35">
      <c r="B27" t="s">
        <v>34</v>
      </c>
      <c r="D27" s="7">
        <v>4</v>
      </c>
      <c r="E27" s="11">
        <v>10</v>
      </c>
    </row>
    <row r="28" spans="1:5" x14ac:dyDescent="0.35">
      <c r="B28" t="s">
        <v>35</v>
      </c>
      <c r="D28" s="7">
        <v>4</v>
      </c>
      <c r="E28" s="11">
        <v>10</v>
      </c>
    </row>
    <row r="29" spans="1:5" x14ac:dyDescent="0.35">
      <c r="B29" t="s">
        <v>36</v>
      </c>
      <c r="D29" s="7">
        <v>0</v>
      </c>
      <c r="E29" s="11">
        <v>10</v>
      </c>
    </row>
    <row r="30" spans="1:5" x14ac:dyDescent="0.35">
      <c r="B30" t="s">
        <v>37</v>
      </c>
      <c r="D30" s="7">
        <v>0</v>
      </c>
      <c r="E30" s="11">
        <v>10</v>
      </c>
    </row>
    <row r="31" spans="1:5" x14ac:dyDescent="0.35">
      <c r="B31" t="s">
        <v>38</v>
      </c>
      <c r="D31" s="7">
        <v>0</v>
      </c>
      <c r="E31" s="11">
        <v>20</v>
      </c>
    </row>
    <row r="33" spans="1:5" x14ac:dyDescent="0.35">
      <c r="A33" t="str">
        <f>A6</f>
        <v>4 Assessment Exercises [25%]</v>
      </c>
      <c r="D33" s="9">
        <f>D34*4/3</f>
        <v>8</v>
      </c>
      <c r="E33" s="11">
        <v>100</v>
      </c>
    </row>
    <row r="34" spans="1:5" x14ac:dyDescent="0.35">
      <c r="D34" s="9">
        <f>SUM(D35,D41,D53)</f>
        <v>6</v>
      </c>
      <c r="E34" s="11">
        <v>75</v>
      </c>
    </row>
    <row r="35" spans="1:5" x14ac:dyDescent="0.35">
      <c r="B35" t="s">
        <v>39</v>
      </c>
      <c r="D35" s="9">
        <f>SUM(D36:D39)</f>
        <v>0</v>
      </c>
      <c r="E35" s="11">
        <f>SUM(E36:E39)</f>
        <v>25</v>
      </c>
    </row>
    <row r="36" spans="1:5" x14ac:dyDescent="0.35">
      <c r="C36" t="s">
        <v>40</v>
      </c>
      <c r="D36" s="7">
        <v>0</v>
      </c>
      <c r="E36" s="11">
        <v>5</v>
      </c>
    </row>
    <row r="37" spans="1:5" x14ac:dyDescent="0.35">
      <c r="C37" t="s">
        <v>41</v>
      </c>
      <c r="D37" s="7">
        <v>0</v>
      </c>
      <c r="E37" s="11">
        <v>5</v>
      </c>
    </row>
    <row r="38" spans="1:5" x14ac:dyDescent="0.35">
      <c r="C38" t="s">
        <v>42</v>
      </c>
      <c r="D38" s="7">
        <v>0</v>
      </c>
      <c r="E38" s="11">
        <v>5</v>
      </c>
    </row>
    <row r="39" spans="1:5" x14ac:dyDescent="0.35">
      <c r="C39" t="s">
        <v>43</v>
      </c>
      <c r="D39" s="7">
        <v>0</v>
      </c>
      <c r="E39" s="11">
        <v>10</v>
      </c>
    </row>
    <row r="41" spans="1:5" x14ac:dyDescent="0.35">
      <c r="B41" t="s">
        <v>44</v>
      </c>
      <c r="D41" s="9">
        <f>SUM(D42:D51)</f>
        <v>0</v>
      </c>
      <c r="E41" s="11">
        <f>SUM(E42:E51)</f>
        <v>25</v>
      </c>
    </row>
    <row r="42" spans="1:5" x14ac:dyDescent="0.35">
      <c r="B42" t="s">
        <v>45</v>
      </c>
      <c r="C42" t="s">
        <v>46</v>
      </c>
      <c r="D42" s="7">
        <v>0</v>
      </c>
      <c r="E42" s="11">
        <v>2</v>
      </c>
    </row>
    <row r="43" spans="1:5" x14ac:dyDescent="0.35">
      <c r="C43" t="s">
        <v>47</v>
      </c>
      <c r="D43" s="7">
        <v>0</v>
      </c>
      <c r="E43" s="11">
        <v>2</v>
      </c>
    </row>
    <row r="44" spans="1:5" x14ac:dyDescent="0.35">
      <c r="C44" t="s">
        <v>48</v>
      </c>
      <c r="D44" s="7">
        <v>0</v>
      </c>
      <c r="E44" s="11">
        <v>2</v>
      </c>
    </row>
    <row r="45" spans="1:5" x14ac:dyDescent="0.35">
      <c r="C45" t="s">
        <v>49</v>
      </c>
      <c r="D45" s="7">
        <v>0</v>
      </c>
      <c r="E45" s="11">
        <v>2</v>
      </c>
    </row>
    <row r="46" spans="1:5" x14ac:dyDescent="0.35">
      <c r="C46" t="s">
        <v>50</v>
      </c>
      <c r="D46" s="7">
        <v>0</v>
      </c>
      <c r="E46" s="11">
        <v>2</v>
      </c>
    </row>
    <row r="47" spans="1:5" x14ac:dyDescent="0.35">
      <c r="B47" t="s">
        <v>51</v>
      </c>
      <c r="C47" t="s">
        <v>46</v>
      </c>
      <c r="D47" s="7">
        <v>0</v>
      </c>
      <c r="E47" s="11">
        <v>3</v>
      </c>
    </row>
    <row r="48" spans="1:5" x14ac:dyDescent="0.35">
      <c r="C48" t="s">
        <v>52</v>
      </c>
      <c r="D48" s="7">
        <v>0</v>
      </c>
      <c r="E48" s="11">
        <v>3</v>
      </c>
    </row>
    <row r="49" spans="1:10" x14ac:dyDescent="0.35">
      <c r="C49" t="s">
        <v>48</v>
      </c>
      <c r="D49" s="7">
        <v>0</v>
      </c>
      <c r="E49" s="11">
        <v>3</v>
      </c>
    </row>
    <row r="50" spans="1:10" x14ac:dyDescent="0.35">
      <c r="C50" t="s">
        <v>49</v>
      </c>
      <c r="D50" s="7">
        <v>0</v>
      </c>
      <c r="E50" s="11">
        <v>3</v>
      </c>
    </row>
    <row r="51" spans="1:10" x14ac:dyDescent="0.35">
      <c r="C51" t="s">
        <v>53</v>
      </c>
      <c r="D51" s="7">
        <v>0</v>
      </c>
      <c r="E51" s="11">
        <v>3</v>
      </c>
    </row>
    <row r="53" spans="1:10" x14ac:dyDescent="0.35">
      <c r="B53" t="s">
        <v>54</v>
      </c>
      <c r="D53" s="9">
        <f>SUM(D54:D56)</f>
        <v>6</v>
      </c>
      <c r="E53" s="11">
        <v>25</v>
      </c>
    </row>
    <row r="54" spans="1:10" x14ac:dyDescent="0.35">
      <c r="B54" t="s">
        <v>55</v>
      </c>
      <c r="C54" t="s">
        <v>56</v>
      </c>
      <c r="D54" s="7">
        <v>6</v>
      </c>
      <c r="E54" s="11">
        <v>10</v>
      </c>
    </row>
    <row r="55" spans="1:10" x14ac:dyDescent="0.35">
      <c r="C55" t="s">
        <v>57</v>
      </c>
      <c r="D55" s="7">
        <v>0</v>
      </c>
      <c r="E55" s="11">
        <v>5</v>
      </c>
    </row>
    <row r="56" spans="1:10" x14ac:dyDescent="0.35">
      <c r="C56" t="s">
        <v>58</v>
      </c>
      <c r="D56" s="7">
        <v>0</v>
      </c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/>
      </c>
      <c r="C62" s="18" t="str">
        <f t="shared" si="0"/>
        <v>X</v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/>
      </c>
      <c r="J62">
        <f>D11/E11</f>
        <v>0.7</v>
      </c>
    </row>
    <row r="63" spans="1:10" ht="39" x14ac:dyDescent="0.35">
      <c r="A63" s="30" t="s">
        <v>29</v>
      </c>
      <c r="B63" s="18" t="str">
        <f t="shared" si="0"/>
        <v/>
      </c>
      <c r="C63" s="18" t="str">
        <f t="shared" si="0"/>
        <v>X</v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/>
      </c>
      <c r="J63">
        <f t="shared" ref="J63:J67" si="1">D12/E12</f>
        <v>0.8</v>
      </c>
    </row>
    <row r="64" spans="1:10" ht="26" x14ac:dyDescent="0.35">
      <c r="A64" s="30" t="s">
        <v>5</v>
      </c>
      <c r="B64" s="18" t="str">
        <f t="shared" si="0"/>
        <v/>
      </c>
      <c r="C64" s="18" t="str">
        <f t="shared" si="0"/>
        <v>X</v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/>
      </c>
      <c r="J64">
        <f t="shared" si="1"/>
        <v>0.6</v>
      </c>
    </row>
    <row r="65" spans="1:10" ht="26" x14ac:dyDescent="0.35">
      <c r="A65" s="31" t="s">
        <v>6</v>
      </c>
      <c r="B65" s="18" t="str">
        <f t="shared" si="0"/>
        <v>X</v>
      </c>
      <c r="C65" s="18" t="str">
        <f t="shared" si="0"/>
        <v/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/>
      </c>
      <c r="J65">
        <f t="shared" si="1"/>
        <v>0.8666666666666667</v>
      </c>
    </row>
    <row r="66" spans="1:10" x14ac:dyDescent="0.35">
      <c r="A66" s="31" t="s">
        <v>7</v>
      </c>
      <c r="B66" s="18" t="str">
        <f t="shared" si="0"/>
        <v/>
      </c>
      <c r="C66" s="18" t="str">
        <f t="shared" si="0"/>
        <v>X</v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/>
      </c>
      <c r="J66">
        <f t="shared" si="1"/>
        <v>0.6</v>
      </c>
    </row>
    <row r="67" spans="1:10" ht="15" thickBot="1" x14ac:dyDescent="0.4">
      <c r="A67" s="32" t="s">
        <v>8</v>
      </c>
      <c r="B67" s="20" t="str">
        <f t="shared" si="0"/>
        <v/>
      </c>
      <c r="C67" s="20" t="str">
        <f t="shared" si="0"/>
        <v>X</v>
      </c>
      <c r="D67" s="20" t="str">
        <f t="shared" si="0"/>
        <v/>
      </c>
      <c r="E67" s="20" t="str">
        <f t="shared" si="0"/>
        <v/>
      </c>
      <c r="F67" s="20" t="str">
        <f t="shared" si="0"/>
        <v/>
      </c>
      <c r="G67" s="20" t="str">
        <f t="shared" si="0"/>
        <v/>
      </c>
      <c r="H67" s="21" t="str">
        <f t="shared" si="0"/>
        <v/>
      </c>
      <c r="J67">
        <f t="shared" si="1"/>
        <v>0.7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>X</v>
      </c>
      <c r="D69" s="16" t="str">
        <f t="shared" si="2"/>
        <v/>
      </c>
      <c r="E69" s="16" t="str">
        <f t="shared" si="2"/>
        <v/>
      </c>
      <c r="F69" s="16" t="str">
        <f t="shared" si="2"/>
        <v/>
      </c>
      <c r="G69" s="16" t="str">
        <f t="shared" si="2"/>
        <v/>
      </c>
      <c r="H69" s="17" t="str">
        <f t="shared" si="2"/>
        <v/>
      </c>
      <c r="J69" s="24">
        <f>D19/E19</f>
        <v>0.66666666666666663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>X</v>
      </c>
      <c r="D70" s="18" t="str">
        <f t="shared" si="2"/>
        <v/>
      </c>
      <c r="E70" s="18" t="str">
        <f t="shared" si="2"/>
        <v/>
      </c>
      <c r="F70" s="18" t="str">
        <f t="shared" si="2"/>
        <v/>
      </c>
      <c r="G70" s="18" t="str">
        <f t="shared" si="2"/>
        <v/>
      </c>
      <c r="H70" s="19" t="str">
        <f t="shared" si="2"/>
        <v/>
      </c>
      <c r="J70" s="24">
        <f t="shared" ref="J70:J71" si="3">D20/E20</f>
        <v>0.8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>X</v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/>
      </c>
      <c r="J71" s="24">
        <f t="shared" si="3"/>
        <v>0.75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>X</v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/>
      </c>
      <c r="J73" s="24">
        <f>D24/E24</f>
        <v>1</v>
      </c>
    </row>
    <row r="74" spans="1:10" ht="26" x14ac:dyDescent="0.35">
      <c r="A74" s="31" t="s">
        <v>9</v>
      </c>
      <c r="B74" s="18" t="str">
        <f t="shared" si="4"/>
        <v>X</v>
      </c>
      <c r="C74" s="18" t="str">
        <f t="shared" si="4"/>
        <v/>
      </c>
      <c r="D74" s="18" t="str">
        <f t="shared" si="4"/>
        <v/>
      </c>
      <c r="E74" s="18" t="str">
        <f t="shared" si="4"/>
        <v/>
      </c>
      <c r="F74" s="18" t="str">
        <f t="shared" si="4"/>
        <v/>
      </c>
      <c r="G74" s="18" t="str">
        <f t="shared" si="4"/>
        <v/>
      </c>
      <c r="H74" s="19" t="str">
        <f t="shared" si="4"/>
        <v/>
      </c>
      <c r="J74" s="24">
        <f t="shared" ref="J74:J80" si="5">D25/E25</f>
        <v>1</v>
      </c>
    </row>
    <row r="75" spans="1:10" ht="26" x14ac:dyDescent="0.35">
      <c r="A75" s="31" t="s">
        <v>10</v>
      </c>
      <c r="B75" s="18" t="str">
        <f t="shared" si="4"/>
        <v/>
      </c>
      <c r="C75" s="18" t="str">
        <f t="shared" si="4"/>
        <v/>
      </c>
      <c r="D75" s="18" t="str">
        <f t="shared" si="4"/>
        <v/>
      </c>
      <c r="E75" s="18" t="str">
        <f t="shared" si="4"/>
        <v>X</v>
      </c>
      <c r="F75" s="18" t="str">
        <f t="shared" si="4"/>
        <v/>
      </c>
      <c r="G75" s="18" t="str">
        <f t="shared" si="4"/>
        <v/>
      </c>
      <c r="H75" s="19" t="str">
        <f t="shared" si="4"/>
        <v/>
      </c>
      <c r="J75" s="24">
        <f t="shared" si="5"/>
        <v>0.5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/>
      </c>
      <c r="D76" s="18" t="str">
        <f t="shared" si="4"/>
        <v/>
      </c>
      <c r="E76" s="18" t="str">
        <f t="shared" si="4"/>
        <v/>
      </c>
      <c r="F76" s="18" t="str">
        <f t="shared" si="4"/>
        <v>X</v>
      </c>
      <c r="G76" s="18" t="str">
        <f t="shared" si="4"/>
        <v/>
      </c>
      <c r="H76" s="19" t="str">
        <f t="shared" si="4"/>
        <v/>
      </c>
      <c r="J76" s="24">
        <f t="shared" si="5"/>
        <v>0.4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/>
      </c>
      <c r="D77" s="18" t="str">
        <f t="shared" si="4"/>
        <v/>
      </c>
      <c r="E77" s="18" t="str">
        <f t="shared" si="4"/>
        <v/>
      </c>
      <c r="F77" s="18" t="str">
        <f t="shared" si="4"/>
        <v>X</v>
      </c>
      <c r="G77" s="18" t="str">
        <f t="shared" si="4"/>
        <v/>
      </c>
      <c r="H77" s="19" t="str">
        <f t="shared" si="4"/>
        <v/>
      </c>
      <c r="J77" s="24">
        <f t="shared" si="5"/>
        <v>0.4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/>
      </c>
      <c r="D78" s="18" t="str">
        <f t="shared" si="4"/>
        <v/>
      </c>
      <c r="E78" s="18" t="str">
        <f t="shared" si="4"/>
        <v/>
      </c>
      <c r="F78" s="18" t="str">
        <f t="shared" si="4"/>
        <v/>
      </c>
      <c r="G78" s="18" t="str">
        <f t="shared" si="4"/>
        <v/>
      </c>
      <c r="H78" s="19" t="str">
        <f t="shared" si="4"/>
        <v>X</v>
      </c>
      <c r="J78" s="24">
        <f t="shared" si="5"/>
        <v>0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/>
      </c>
      <c r="D79" s="18" t="str">
        <f t="shared" si="4"/>
        <v/>
      </c>
      <c r="E79" s="18" t="str">
        <f t="shared" si="4"/>
        <v/>
      </c>
      <c r="F79" s="18" t="str">
        <f t="shared" si="4"/>
        <v/>
      </c>
      <c r="G79" s="18" t="str">
        <f t="shared" si="4"/>
        <v/>
      </c>
      <c r="H79" s="19" t="str">
        <f t="shared" si="4"/>
        <v>X</v>
      </c>
      <c r="J79" s="24">
        <f t="shared" si="5"/>
        <v>0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/>
      </c>
      <c r="D80" s="20" t="str">
        <f t="shared" si="4"/>
        <v/>
      </c>
      <c r="E80" s="20" t="str">
        <f t="shared" si="4"/>
        <v/>
      </c>
      <c r="F80" s="20" t="str">
        <f t="shared" si="4"/>
        <v/>
      </c>
      <c r="G80" s="20" t="str">
        <f t="shared" si="4"/>
        <v/>
      </c>
      <c r="H80" s="21" t="str">
        <f t="shared" si="4"/>
        <v>X</v>
      </c>
      <c r="J80" s="24">
        <f t="shared" si="5"/>
        <v>0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/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/>
      </c>
      <c r="G82" s="16" t="str">
        <f t="shared" si="6"/>
        <v/>
      </c>
      <c r="H82" s="17" t="str">
        <f t="shared" si="6"/>
        <v>X</v>
      </c>
      <c r="J82" s="24">
        <f>D35/E35</f>
        <v>0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/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/>
      </c>
      <c r="H83" s="19" t="str">
        <f t="shared" si="6"/>
        <v>X</v>
      </c>
      <c r="J83" s="24">
        <f>D41/E41</f>
        <v>0</v>
      </c>
    </row>
    <row r="84" spans="1:10" ht="15" thickBot="1" x14ac:dyDescent="0.4">
      <c r="A84" s="34" t="s">
        <v>54</v>
      </c>
      <c r="B84" s="22" t="str">
        <f t="shared" si="6"/>
        <v/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/>
      </c>
      <c r="G84" s="22" t="str">
        <f t="shared" si="6"/>
        <v>X</v>
      </c>
      <c r="H84" s="23" t="str">
        <f t="shared" si="6"/>
        <v/>
      </c>
      <c r="J84" s="24">
        <f>D53/E53</f>
        <v>0.24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A96E1-0F7E-4219-9D81-E89CB5C13601}">
  <dimension ref="A1:J88"/>
  <sheetViews>
    <sheetView workbookViewId="0">
      <selection activeCell="A3" sqref="A3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B1" t="s">
        <v>104</v>
      </c>
      <c r="D1" t="s">
        <v>3</v>
      </c>
      <c r="E1">
        <f>D8</f>
        <v>53</v>
      </c>
      <c r="G1">
        <f>D3</f>
        <v>77</v>
      </c>
      <c r="H1">
        <f>D4</f>
        <v>55</v>
      </c>
      <c r="I1">
        <f>D5</f>
        <v>80</v>
      </c>
      <c r="J1">
        <f>D6</f>
        <v>0</v>
      </c>
    </row>
    <row r="2" spans="1:10" x14ac:dyDescent="0.35">
      <c r="A2">
        <v>1000004</v>
      </c>
    </row>
    <row r="3" spans="1:10" x14ac:dyDescent="0.35">
      <c r="A3" t="s">
        <v>21</v>
      </c>
      <c r="D3" s="9">
        <f>D10</f>
        <v>77</v>
      </c>
    </row>
    <row r="4" spans="1:10" x14ac:dyDescent="0.35">
      <c r="A4" t="s">
        <v>23</v>
      </c>
      <c r="D4" s="9">
        <f>D18</f>
        <v>55</v>
      </c>
    </row>
    <row r="5" spans="1:10" x14ac:dyDescent="0.35">
      <c r="A5" t="s">
        <v>25</v>
      </c>
      <c r="D5" s="9">
        <f>D23</f>
        <v>80</v>
      </c>
    </row>
    <row r="6" spans="1:10" x14ac:dyDescent="0.35">
      <c r="A6" t="s">
        <v>24</v>
      </c>
      <c r="D6" s="9">
        <f>D33</f>
        <v>0</v>
      </c>
    </row>
    <row r="7" spans="1:10" x14ac:dyDescent="0.35">
      <c r="A7" t="s">
        <v>26</v>
      </c>
      <c r="D7" s="9">
        <f>SUM(D3:D6)</f>
        <v>212</v>
      </c>
    </row>
    <row r="8" spans="1:10" x14ac:dyDescent="0.35">
      <c r="A8" t="s">
        <v>27</v>
      </c>
      <c r="D8" s="9">
        <f>ROUNDUP(D7/4,0)</f>
        <v>53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77</v>
      </c>
      <c r="E10" s="11">
        <f>SUM(E11:E16)</f>
        <v>100</v>
      </c>
    </row>
    <row r="11" spans="1:10" x14ac:dyDescent="0.35">
      <c r="B11" t="s">
        <v>28</v>
      </c>
      <c r="D11" s="7">
        <v>6</v>
      </c>
      <c r="E11" s="11">
        <v>10</v>
      </c>
    </row>
    <row r="12" spans="1:10" x14ac:dyDescent="0.35">
      <c r="B12" t="s">
        <v>29</v>
      </c>
      <c r="D12" s="7">
        <v>15</v>
      </c>
      <c r="E12" s="11">
        <v>20</v>
      </c>
    </row>
    <row r="13" spans="1:10" x14ac:dyDescent="0.35">
      <c r="B13" t="s">
        <v>5</v>
      </c>
      <c r="D13" s="7">
        <v>15</v>
      </c>
      <c r="E13" s="11">
        <v>20</v>
      </c>
    </row>
    <row r="14" spans="1:10" x14ac:dyDescent="0.35">
      <c r="B14" t="s">
        <v>6</v>
      </c>
      <c r="D14" s="7">
        <v>25</v>
      </c>
      <c r="E14" s="11">
        <v>30</v>
      </c>
    </row>
    <row r="15" spans="1:10" x14ac:dyDescent="0.35">
      <c r="B15" t="s">
        <v>7</v>
      </c>
      <c r="D15" s="7">
        <v>8</v>
      </c>
      <c r="E15" s="11">
        <v>10</v>
      </c>
    </row>
    <row r="16" spans="1:10" x14ac:dyDescent="0.35">
      <c r="B16" t="s">
        <v>8</v>
      </c>
      <c r="D16" s="7">
        <v>8</v>
      </c>
      <c r="E16" s="11">
        <v>10</v>
      </c>
    </row>
    <row r="18" spans="1:7" x14ac:dyDescent="0.35">
      <c r="A18" t="str">
        <f>A4</f>
        <v>2. Zoo Design [25%]</v>
      </c>
      <c r="D18" s="9">
        <f>SUM(D19:D21)</f>
        <v>55</v>
      </c>
      <c r="E18" s="11">
        <f>SUM(E19:E21)</f>
        <v>100</v>
      </c>
    </row>
    <row r="19" spans="1:7" x14ac:dyDescent="0.35">
      <c r="B19" t="s">
        <v>30</v>
      </c>
      <c r="D19" s="7">
        <v>20</v>
      </c>
      <c r="E19" s="11">
        <v>30</v>
      </c>
    </row>
    <row r="20" spans="1:7" x14ac:dyDescent="0.35">
      <c r="B20" t="s">
        <v>31</v>
      </c>
      <c r="D20" s="7">
        <v>20</v>
      </c>
      <c r="E20" s="11">
        <v>50</v>
      </c>
    </row>
    <row r="21" spans="1:7" x14ac:dyDescent="0.35">
      <c r="B21" t="s">
        <v>32</v>
      </c>
      <c r="D21" s="7">
        <v>15</v>
      </c>
      <c r="E21" s="11">
        <v>20</v>
      </c>
    </row>
    <row r="23" spans="1:7" x14ac:dyDescent="0.35">
      <c r="A23" t="str">
        <f>A5</f>
        <v>3. Zoo Application [25%]</v>
      </c>
      <c r="D23" s="8">
        <f>SUM(D24:D31)</f>
        <v>80</v>
      </c>
      <c r="E23" s="11">
        <f>SUM(E24:E30)</f>
        <v>80</v>
      </c>
    </row>
    <row r="24" spans="1:7" x14ac:dyDescent="0.35">
      <c r="B24" t="s">
        <v>33</v>
      </c>
      <c r="D24" s="7">
        <v>10</v>
      </c>
      <c r="E24" s="11">
        <v>10</v>
      </c>
    </row>
    <row r="25" spans="1:7" x14ac:dyDescent="0.35">
      <c r="B25" t="s">
        <v>9</v>
      </c>
      <c r="D25" s="7">
        <v>10</v>
      </c>
      <c r="E25" s="11">
        <v>10</v>
      </c>
    </row>
    <row r="26" spans="1:7" x14ac:dyDescent="0.35">
      <c r="B26" t="s">
        <v>10</v>
      </c>
      <c r="D26" s="7">
        <v>12</v>
      </c>
      <c r="E26" s="11">
        <v>20</v>
      </c>
      <c r="G26" t="s">
        <v>98</v>
      </c>
    </row>
    <row r="27" spans="1:7" x14ac:dyDescent="0.35">
      <c r="B27" t="s">
        <v>34</v>
      </c>
      <c r="D27" s="7">
        <v>8</v>
      </c>
      <c r="E27" s="11">
        <v>10</v>
      </c>
    </row>
    <row r="28" spans="1:7" x14ac:dyDescent="0.35">
      <c r="B28" t="s">
        <v>35</v>
      </c>
      <c r="D28" s="7">
        <v>8</v>
      </c>
      <c r="E28" s="11">
        <v>10</v>
      </c>
      <c r="G28" t="s">
        <v>99</v>
      </c>
    </row>
    <row r="29" spans="1:7" x14ac:dyDescent="0.35">
      <c r="B29" t="s">
        <v>36</v>
      </c>
      <c r="D29" s="7">
        <v>8</v>
      </c>
      <c r="E29" s="11">
        <v>10</v>
      </c>
      <c r="G29" t="s">
        <v>100</v>
      </c>
    </row>
    <row r="30" spans="1:7" x14ac:dyDescent="0.35">
      <c r="B30" t="s">
        <v>37</v>
      </c>
      <c r="D30" s="7">
        <v>8</v>
      </c>
      <c r="E30" s="11">
        <v>10</v>
      </c>
    </row>
    <row r="31" spans="1:7" x14ac:dyDescent="0.35">
      <c r="B31" t="s">
        <v>38</v>
      </c>
      <c r="D31" s="7">
        <v>16</v>
      </c>
      <c r="E31" s="11">
        <v>20</v>
      </c>
    </row>
    <row r="33" spans="1:5" x14ac:dyDescent="0.35">
      <c r="A33" t="str">
        <f>A6</f>
        <v>4 Assessment Exercises [25%]</v>
      </c>
      <c r="D33" s="9">
        <f>D34*4/3</f>
        <v>0</v>
      </c>
      <c r="E33" s="11">
        <v>100</v>
      </c>
    </row>
    <row r="34" spans="1:5" x14ac:dyDescent="0.35">
      <c r="D34" s="9">
        <f>SUM(D35,D41,D53)</f>
        <v>0</v>
      </c>
      <c r="E34" s="11">
        <v>75</v>
      </c>
    </row>
    <row r="35" spans="1:5" x14ac:dyDescent="0.35">
      <c r="B35" t="s">
        <v>39</v>
      </c>
      <c r="D35" s="9">
        <f>SUM(D36:D39)</f>
        <v>0</v>
      </c>
      <c r="E35" s="11">
        <f>SUM(E36:E39)</f>
        <v>25</v>
      </c>
    </row>
    <row r="36" spans="1:5" x14ac:dyDescent="0.35">
      <c r="C36" t="s">
        <v>40</v>
      </c>
      <c r="D36" s="7">
        <v>0</v>
      </c>
      <c r="E36" s="11">
        <v>5</v>
      </c>
    </row>
    <row r="37" spans="1:5" x14ac:dyDescent="0.35">
      <c r="C37" t="s">
        <v>41</v>
      </c>
      <c r="D37" s="7">
        <v>0</v>
      </c>
      <c r="E37" s="11">
        <v>5</v>
      </c>
    </row>
    <row r="38" spans="1:5" x14ac:dyDescent="0.35">
      <c r="C38" t="s">
        <v>42</v>
      </c>
      <c r="D38" s="7">
        <v>0</v>
      </c>
      <c r="E38" s="11">
        <v>5</v>
      </c>
    </row>
    <row r="39" spans="1:5" x14ac:dyDescent="0.35">
      <c r="C39" t="s">
        <v>43</v>
      </c>
      <c r="D39" s="7">
        <v>0</v>
      </c>
      <c r="E39" s="11">
        <v>10</v>
      </c>
    </row>
    <row r="41" spans="1:5" x14ac:dyDescent="0.35">
      <c r="B41" t="s">
        <v>44</v>
      </c>
      <c r="D41" s="9">
        <f>SUM(D42:D51)</f>
        <v>0</v>
      </c>
      <c r="E41" s="11">
        <f>SUM(E42:E51)</f>
        <v>25</v>
      </c>
    </row>
    <row r="42" spans="1:5" x14ac:dyDescent="0.35">
      <c r="B42" t="s">
        <v>45</v>
      </c>
      <c r="C42" t="s">
        <v>46</v>
      </c>
      <c r="D42" s="7">
        <v>0</v>
      </c>
      <c r="E42" s="11">
        <v>2</v>
      </c>
    </row>
    <row r="43" spans="1:5" x14ac:dyDescent="0.35">
      <c r="C43" t="s">
        <v>47</v>
      </c>
      <c r="D43" s="7">
        <v>0</v>
      </c>
      <c r="E43" s="11">
        <v>2</v>
      </c>
    </row>
    <row r="44" spans="1:5" x14ac:dyDescent="0.35">
      <c r="C44" t="s">
        <v>48</v>
      </c>
      <c r="D44" s="7">
        <v>0</v>
      </c>
      <c r="E44" s="11">
        <v>2</v>
      </c>
    </row>
    <row r="45" spans="1:5" x14ac:dyDescent="0.35">
      <c r="C45" t="s">
        <v>49</v>
      </c>
      <c r="D45" s="7">
        <v>0</v>
      </c>
      <c r="E45" s="11">
        <v>2</v>
      </c>
    </row>
    <row r="46" spans="1:5" x14ac:dyDescent="0.35">
      <c r="C46" t="s">
        <v>50</v>
      </c>
      <c r="D46" s="7">
        <v>0</v>
      </c>
      <c r="E46" s="11">
        <v>2</v>
      </c>
    </row>
    <row r="47" spans="1:5" x14ac:dyDescent="0.35">
      <c r="B47" t="s">
        <v>51</v>
      </c>
      <c r="C47" t="s">
        <v>46</v>
      </c>
      <c r="D47" s="7">
        <v>0</v>
      </c>
      <c r="E47" s="11">
        <v>3</v>
      </c>
    </row>
    <row r="48" spans="1:5" x14ac:dyDescent="0.35">
      <c r="C48" t="s">
        <v>52</v>
      </c>
      <c r="D48" s="7">
        <v>0</v>
      </c>
      <c r="E48" s="11">
        <v>3</v>
      </c>
    </row>
    <row r="49" spans="1:10" x14ac:dyDescent="0.35">
      <c r="C49" t="s">
        <v>48</v>
      </c>
      <c r="D49" s="7">
        <v>0</v>
      </c>
      <c r="E49" s="11">
        <v>3</v>
      </c>
    </row>
    <row r="50" spans="1:10" x14ac:dyDescent="0.35">
      <c r="C50" t="s">
        <v>49</v>
      </c>
      <c r="D50" s="7">
        <v>0</v>
      </c>
      <c r="E50" s="11">
        <v>3</v>
      </c>
    </row>
    <row r="51" spans="1:10" x14ac:dyDescent="0.35">
      <c r="C51" t="s">
        <v>53</v>
      </c>
      <c r="D51" s="7">
        <v>0</v>
      </c>
      <c r="E51" s="11">
        <v>3</v>
      </c>
    </row>
    <row r="53" spans="1:10" x14ac:dyDescent="0.35">
      <c r="B53" t="s">
        <v>54</v>
      </c>
      <c r="D53" s="9">
        <f>SUM(D54:D56)</f>
        <v>0</v>
      </c>
      <c r="E53" s="11">
        <v>25</v>
      </c>
    </row>
    <row r="54" spans="1:10" x14ac:dyDescent="0.35">
      <c r="B54" t="s">
        <v>55</v>
      </c>
      <c r="C54" t="s">
        <v>56</v>
      </c>
      <c r="D54" s="7">
        <v>0</v>
      </c>
      <c r="E54" s="11">
        <v>10</v>
      </c>
    </row>
    <row r="55" spans="1:10" x14ac:dyDescent="0.35">
      <c r="C55" t="s">
        <v>57</v>
      </c>
      <c r="D55" s="7">
        <v>0</v>
      </c>
      <c r="E55" s="11">
        <v>5</v>
      </c>
    </row>
    <row r="56" spans="1:10" x14ac:dyDescent="0.35">
      <c r="C56" t="s">
        <v>58</v>
      </c>
      <c r="D56" s="7">
        <v>0</v>
      </c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/>
      </c>
      <c r="C62" s="18" t="str">
        <f t="shared" si="0"/>
        <v>X</v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/>
      </c>
      <c r="J62">
        <f>D11/E11</f>
        <v>0.6</v>
      </c>
    </row>
    <row r="63" spans="1:10" ht="39" x14ac:dyDescent="0.35">
      <c r="A63" s="30" t="s">
        <v>29</v>
      </c>
      <c r="B63" s="18" t="str">
        <f t="shared" si="0"/>
        <v/>
      </c>
      <c r="C63" s="18" t="str">
        <f t="shared" si="0"/>
        <v>X</v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/>
      </c>
      <c r="J63">
        <f t="shared" ref="J63:J67" si="1">D12/E12</f>
        <v>0.75</v>
      </c>
    </row>
    <row r="64" spans="1:10" ht="26" x14ac:dyDescent="0.35">
      <c r="A64" s="30" t="s">
        <v>5</v>
      </c>
      <c r="B64" s="18" t="str">
        <f t="shared" si="0"/>
        <v/>
      </c>
      <c r="C64" s="18" t="str">
        <f t="shared" si="0"/>
        <v>X</v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/>
      </c>
      <c r="J64">
        <f t="shared" si="1"/>
        <v>0.75</v>
      </c>
    </row>
    <row r="65" spans="1:10" ht="26" x14ac:dyDescent="0.35">
      <c r="A65" s="31" t="s">
        <v>6</v>
      </c>
      <c r="B65" s="18" t="str">
        <f t="shared" si="0"/>
        <v/>
      </c>
      <c r="C65" s="18" t="str">
        <f t="shared" si="0"/>
        <v>X</v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/>
      </c>
      <c r="J65">
        <f t="shared" si="1"/>
        <v>0.83333333333333337</v>
      </c>
    </row>
    <row r="66" spans="1:10" x14ac:dyDescent="0.35">
      <c r="A66" s="31" t="s">
        <v>7</v>
      </c>
      <c r="B66" s="18" t="str">
        <f t="shared" si="0"/>
        <v/>
      </c>
      <c r="C66" s="18" t="str">
        <f t="shared" si="0"/>
        <v>X</v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/>
      </c>
      <c r="J66">
        <f t="shared" si="1"/>
        <v>0.8</v>
      </c>
    </row>
    <row r="67" spans="1:10" ht="15" thickBot="1" x14ac:dyDescent="0.4">
      <c r="A67" s="32" t="s">
        <v>8</v>
      </c>
      <c r="B67" s="20" t="str">
        <f t="shared" si="0"/>
        <v/>
      </c>
      <c r="C67" s="20" t="str">
        <f t="shared" si="0"/>
        <v>X</v>
      </c>
      <c r="D67" s="20" t="str">
        <f t="shared" si="0"/>
        <v/>
      </c>
      <c r="E67" s="20" t="str">
        <f t="shared" si="0"/>
        <v/>
      </c>
      <c r="F67" s="20" t="str">
        <f t="shared" si="0"/>
        <v/>
      </c>
      <c r="G67" s="20" t="str">
        <f t="shared" si="0"/>
        <v/>
      </c>
      <c r="H67" s="21" t="str">
        <f t="shared" si="0"/>
        <v/>
      </c>
      <c r="J67">
        <f t="shared" si="1"/>
        <v>0.8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>X</v>
      </c>
      <c r="D69" s="16" t="str">
        <f t="shared" si="2"/>
        <v/>
      </c>
      <c r="E69" s="16" t="str">
        <f t="shared" si="2"/>
        <v/>
      </c>
      <c r="F69" s="16" t="str">
        <f t="shared" si="2"/>
        <v/>
      </c>
      <c r="G69" s="16" t="str">
        <f t="shared" si="2"/>
        <v/>
      </c>
      <c r="H69" s="17" t="str">
        <f t="shared" si="2"/>
        <v/>
      </c>
      <c r="J69" s="24">
        <f>D19/E19</f>
        <v>0.66666666666666663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/>
      </c>
      <c r="D70" s="18" t="str">
        <f t="shared" si="2"/>
        <v/>
      </c>
      <c r="E70" s="18" t="str">
        <f t="shared" si="2"/>
        <v/>
      </c>
      <c r="F70" s="18" t="str">
        <f t="shared" si="2"/>
        <v>X</v>
      </c>
      <c r="G70" s="18" t="str">
        <f t="shared" si="2"/>
        <v/>
      </c>
      <c r="H70" s="19" t="str">
        <f t="shared" si="2"/>
        <v/>
      </c>
      <c r="J70" s="24">
        <f t="shared" ref="J70:J71" si="3">D20/E20</f>
        <v>0.4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>X</v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/>
      </c>
      <c r="J71" s="24">
        <f t="shared" si="3"/>
        <v>0.75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>X</v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/>
      </c>
      <c r="J73" s="24">
        <f>D24/E24</f>
        <v>1</v>
      </c>
    </row>
    <row r="74" spans="1:10" ht="26" x14ac:dyDescent="0.35">
      <c r="A74" s="31" t="s">
        <v>9</v>
      </c>
      <c r="B74" s="18" t="str">
        <f t="shared" si="4"/>
        <v>X</v>
      </c>
      <c r="C74" s="18" t="str">
        <f t="shared" si="4"/>
        <v/>
      </c>
      <c r="D74" s="18" t="str">
        <f t="shared" si="4"/>
        <v/>
      </c>
      <c r="E74" s="18" t="str">
        <f t="shared" si="4"/>
        <v/>
      </c>
      <c r="F74" s="18" t="str">
        <f t="shared" si="4"/>
        <v/>
      </c>
      <c r="G74" s="18" t="str">
        <f t="shared" si="4"/>
        <v/>
      </c>
      <c r="H74" s="19" t="str">
        <f t="shared" si="4"/>
        <v/>
      </c>
      <c r="J74" s="24">
        <f t="shared" ref="J74:J80" si="5">D25/E25</f>
        <v>1</v>
      </c>
    </row>
    <row r="75" spans="1:10" ht="26" x14ac:dyDescent="0.35">
      <c r="A75" s="31" t="s">
        <v>10</v>
      </c>
      <c r="B75" s="18" t="str">
        <f t="shared" si="4"/>
        <v/>
      </c>
      <c r="C75" s="18" t="str">
        <f t="shared" si="4"/>
        <v>X</v>
      </c>
      <c r="D75" s="18" t="str">
        <f t="shared" si="4"/>
        <v/>
      </c>
      <c r="E75" s="18" t="str">
        <f t="shared" si="4"/>
        <v/>
      </c>
      <c r="F75" s="18" t="str">
        <f t="shared" si="4"/>
        <v/>
      </c>
      <c r="G75" s="18" t="str">
        <f t="shared" si="4"/>
        <v/>
      </c>
      <c r="H75" s="19" t="str">
        <f t="shared" si="4"/>
        <v/>
      </c>
      <c r="J75" s="24">
        <f t="shared" si="5"/>
        <v>0.6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>X</v>
      </c>
      <c r="D76" s="18" t="str">
        <f t="shared" si="4"/>
        <v/>
      </c>
      <c r="E76" s="18" t="str">
        <f t="shared" si="4"/>
        <v/>
      </c>
      <c r="F76" s="18" t="str">
        <f t="shared" si="4"/>
        <v/>
      </c>
      <c r="G76" s="18" t="str">
        <f t="shared" si="4"/>
        <v/>
      </c>
      <c r="H76" s="19" t="str">
        <f t="shared" si="4"/>
        <v/>
      </c>
      <c r="J76" s="24">
        <f t="shared" si="5"/>
        <v>0.8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>X</v>
      </c>
      <c r="D77" s="18" t="str">
        <f t="shared" si="4"/>
        <v/>
      </c>
      <c r="E77" s="18" t="str">
        <f t="shared" si="4"/>
        <v/>
      </c>
      <c r="F77" s="18" t="str">
        <f t="shared" si="4"/>
        <v/>
      </c>
      <c r="G77" s="18" t="str">
        <f t="shared" si="4"/>
        <v/>
      </c>
      <c r="H77" s="19" t="str">
        <f t="shared" si="4"/>
        <v/>
      </c>
      <c r="J77" s="24">
        <f t="shared" si="5"/>
        <v>0.8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>X</v>
      </c>
      <c r="D78" s="18" t="str">
        <f t="shared" si="4"/>
        <v/>
      </c>
      <c r="E78" s="18" t="str">
        <f t="shared" si="4"/>
        <v/>
      </c>
      <c r="F78" s="18" t="str">
        <f t="shared" si="4"/>
        <v/>
      </c>
      <c r="G78" s="18" t="str">
        <f t="shared" si="4"/>
        <v/>
      </c>
      <c r="H78" s="19" t="str">
        <f t="shared" si="4"/>
        <v/>
      </c>
      <c r="J78" s="24">
        <f t="shared" si="5"/>
        <v>0.8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>X</v>
      </c>
      <c r="D79" s="18" t="str">
        <f t="shared" si="4"/>
        <v/>
      </c>
      <c r="E79" s="18" t="str">
        <f t="shared" si="4"/>
        <v/>
      </c>
      <c r="F79" s="18" t="str">
        <f t="shared" si="4"/>
        <v/>
      </c>
      <c r="G79" s="18" t="str">
        <f t="shared" si="4"/>
        <v/>
      </c>
      <c r="H79" s="19" t="str">
        <f t="shared" si="4"/>
        <v/>
      </c>
      <c r="J79" s="24">
        <f t="shared" si="5"/>
        <v>0.8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>X</v>
      </c>
      <c r="D80" s="20" t="str">
        <f t="shared" si="4"/>
        <v/>
      </c>
      <c r="E80" s="20" t="str">
        <f t="shared" si="4"/>
        <v/>
      </c>
      <c r="F80" s="20" t="str">
        <f t="shared" si="4"/>
        <v/>
      </c>
      <c r="G80" s="20" t="str">
        <f t="shared" si="4"/>
        <v/>
      </c>
      <c r="H80" s="21" t="str">
        <f t="shared" si="4"/>
        <v/>
      </c>
      <c r="J80" s="24">
        <f t="shared" si="5"/>
        <v>0.8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/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/>
      </c>
      <c r="G82" s="16" t="str">
        <f t="shared" si="6"/>
        <v/>
      </c>
      <c r="H82" s="17" t="str">
        <f t="shared" si="6"/>
        <v>X</v>
      </c>
      <c r="J82" s="24">
        <f>D35/E35</f>
        <v>0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/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/>
      </c>
      <c r="H83" s="19" t="str">
        <f t="shared" si="6"/>
        <v>X</v>
      </c>
      <c r="J83" s="24">
        <f>D41/E41</f>
        <v>0</v>
      </c>
    </row>
    <row r="84" spans="1:10" ht="15" thickBot="1" x14ac:dyDescent="0.4">
      <c r="A84" s="34" t="s">
        <v>54</v>
      </c>
      <c r="B84" s="22" t="str">
        <f t="shared" si="6"/>
        <v/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/>
      </c>
      <c r="G84" s="22" t="str">
        <f t="shared" si="6"/>
        <v/>
      </c>
      <c r="H84" s="23" t="str">
        <f t="shared" si="6"/>
        <v>X</v>
      </c>
      <c r="J84" s="24">
        <f>D53/E53</f>
        <v>0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BDAF0-5FE2-48D9-A8BA-58D3B809D317}">
  <dimension ref="A1:J88"/>
  <sheetViews>
    <sheetView workbookViewId="0">
      <selection activeCell="A3" sqref="A3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B1" t="s">
        <v>105</v>
      </c>
      <c r="D1" t="s">
        <v>3</v>
      </c>
      <c r="E1">
        <f>D8</f>
        <v>40</v>
      </c>
      <c r="G1">
        <f>D3</f>
        <v>76</v>
      </c>
      <c r="H1">
        <f>D4</f>
        <v>55</v>
      </c>
      <c r="I1">
        <f>D5</f>
        <v>2</v>
      </c>
      <c r="J1">
        <f>D6</f>
        <v>24.666666666666668</v>
      </c>
    </row>
    <row r="2" spans="1:10" x14ac:dyDescent="0.35">
      <c r="A2">
        <v>1000005</v>
      </c>
    </row>
    <row r="3" spans="1:10" x14ac:dyDescent="0.35">
      <c r="A3" t="s">
        <v>21</v>
      </c>
      <c r="D3" s="9">
        <f>D10</f>
        <v>76</v>
      </c>
    </row>
    <row r="4" spans="1:10" x14ac:dyDescent="0.35">
      <c r="A4" t="s">
        <v>23</v>
      </c>
      <c r="D4" s="9">
        <f>D18</f>
        <v>55</v>
      </c>
    </row>
    <row r="5" spans="1:10" x14ac:dyDescent="0.35">
      <c r="A5" t="s">
        <v>25</v>
      </c>
      <c r="D5" s="9">
        <f>D23</f>
        <v>2</v>
      </c>
    </row>
    <row r="6" spans="1:10" x14ac:dyDescent="0.35">
      <c r="A6" t="s">
        <v>24</v>
      </c>
      <c r="D6" s="9">
        <f>D33</f>
        <v>24.666666666666668</v>
      </c>
    </row>
    <row r="7" spans="1:10" x14ac:dyDescent="0.35">
      <c r="A7" t="s">
        <v>26</v>
      </c>
      <c r="D7" s="9">
        <f>SUM(D3:D6)</f>
        <v>157.66666666666666</v>
      </c>
    </row>
    <row r="8" spans="1:10" x14ac:dyDescent="0.35">
      <c r="A8" t="s">
        <v>27</v>
      </c>
      <c r="D8" s="9">
        <f>ROUNDUP(D7/4,0)</f>
        <v>40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76</v>
      </c>
      <c r="E10" s="11">
        <f>SUM(E11:E16)</f>
        <v>100</v>
      </c>
    </row>
    <row r="11" spans="1:10" x14ac:dyDescent="0.35">
      <c r="B11" t="s">
        <v>28</v>
      </c>
      <c r="D11" s="7">
        <v>7</v>
      </c>
      <c r="E11" s="11">
        <v>10</v>
      </c>
    </row>
    <row r="12" spans="1:10" x14ac:dyDescent="0.35">
      <c r="B12" t="s">
        <v>29</v>
      </c>
      <c r="D12" s="7">
        <v>15</v>
      </c>
      <c r="E12" s="11">
        <v>20</v>
      </c>
    </row>
    <row r="13" spans="1:10" x14ac:dyDescent="0.35">
      <c r="B13" t="s">
        <v>5</v>
      </c>
      <c r="D13" s="7">
        <v>15</v>
      </c>
      <c r="E13" s="11">
        <v>20</v>
      </c>
    </row>
    <row r="14" spans="1:10" x14ac:dyDescent="0.35">
      <c r="B14" t="s">
        <v>6</v>
      </c>
      <c r="D14" s="7">
        <v>25</v>
      </c>
      <c r="E14" s="11">
        <v>30</v>
      </c>
    </row>
    <row r="15" spans="1:10" x14ac:dyDescent="0.35">
      <c r="B15" t="s">
        <v>7</v>
      </c>
      <c r="D15" s="7">
        <v>7</v>
      </c>
      <c r="E15" s="11">
        <v>10</v>
      </c>
    </row>
    <row r="16" spans="1:10" x14ac:dyDescent="0.35">
      <c r="B16" t="s">
        <v>8</v>
      </c>
      <c r="D16" s="7">
        <v>7</v>
      </c>
      <c r="E16" s="11">
        <v>10</v>
      </c>
    </row>
    <row r="18" spans="1:5" x14ac:dyDescent="0.35">
      <c r="A18" t="str">
        <f>A4</f>
        <v>2. Zoo Design [25%]</v>
      </c>
      <c r="D18" s="9">
        <f>SUM(D19:D21)</f>
        <v>55</v>
      </c>
      <c r="E18" s="11">
        <f>SUM(E19:E21)</f>
        <v>100</v>
      </c>
    </row>
    <row r="19" spans="1:5" x14ac:dyDescent="0.35">
      <c r="B19" t="s">
        <v>30</v>
      </c>
      <c r="D19" s="7">
        <v>15</v>
      </c>
      <c r="E19" s="11">
        <v>30</v>
      </c>
    </row>
    <row r="20" spans="1:5" x14ac:dyDescent="0.35">
      <c r="B20" t="s">
        <v>31</v>
      </c>
      <c r="D20" s="7">
        <v>25</v>
      </c>
      <c r="E20" s="11">
        <v>50</v>
      </c>
    </row>
    <row r="21" spans="1:5" x14ac:dyDescent="0.35">
      <c r="B21" t="s">
        <v>32</v>
      </c>
      <c r="D21" s="7">
        <v>15</v>
      </c>
      <c r="E21" s="11">
        <v>20</v>
      </c>
    </row>
    <row r="23" spans="1:5" x14ac:dyDescent="0.35">
      <c r="A23" t="str">
        <f>A5</f>
        <v>3. Zoo Application [25%]</v>
      </c>
      <c r="D23" s="8">
        <f>SUM(D24:D31)</f>
        <v>2</v>
      </c>
      <c r="E23" s="11">
        <f>SUM(E24:E30)</f>
        <v>80</v>
      </c>
    </row>
    <row r="24" spans="1:5" x14ac:dyDescent="0.35">
      <c r="B24" t="s">
        <v>33</v>
      </c>
      <c r="D24" s="7">
        <v>0</v>
      </c>
      <c r="E24" s="11">
        <v>10</v>
      </c>
    </row>
    <row r="25" spans="1:5" x14ac:dyDescent="0.35">
      <c r="B25" t="s">
        <v>9</v>
      </c>
      <c r="D25" s="7">
        <v>2</v>
      </c>
      <c r="E25" s="11">
        <v>10</v>
      </c>
    </row>
    <row r="26" spans="1:5" x14ac:dyDescent="0.35">
      <c r="B26" t="s">
        <v>10</v>
      </c>
      <c r="D26" s="7">
        <v>0</v>
      </c>
      <c r="E26" s="11">
        <v>20</v>
      </c>
    </row>
    <row r="27" spans="1:5" x14ac:dyDescent="0.35">
      <c r="B27" t="s">
        <v>34</v>
      </c>
      <c r="D27" s="7">
        <v>0</v>
      </c>
      <c r="E27" s="11">
        <v>10</v>
      </c>
    </row>
    <row r="28" spans="1:5" x14ac:dyDescent="0.35">
      <c r="B28" t="s">
        <v>35</v>
      </c>
      <c r="D28" s="7">
        <v>0</v>
      </c>
      <c r="E28" s="11">
        <v>10</v>
      </c>
    </row>
    <row r="29" spans="1:5" x14ac:dyDescent="0.35">
      <c r="B29" t="s">
        <v>36</v>
      </c>
      <c r="D29" s="7">
        <v>0</v>
      </c>
      <c r="E29" s="11">
        <v>10</v>
      </c>
    </row>
    <row r="30" spans="1:5" x14ac:dyDescent="0.35">
      <c r="B30" t="s">
        <v>37</v>
      </c>
      <c r="D30" s="7">
        <v>0</v>
      </c>
      <c r="E30" s="11">
        <v>10</v>
      </c>
    </row>
    <row r="31" spans="1:5" x14ac:dyDescent="0.35">
      <c r="B31" t="s">
        <v>38</v>
      </c>
      <c r="D31" s="7">
        <v>0</v>
      </c>
      <c r="E31" s="11">
        <v>20</v>
      </c>
    </row>
    <row r="33" spans="1:5" x14ac:dyDescent="0.35">
      <c r="A33" t="str">
        <f>A6</f>
        <v>4 Assessment Exercises [25%]</v>
      </c>
      <c r="D33" s="9">
        <f>D34*4/3</f>
        <v>24.666666666666668</v>
      </c>
      <c r="E33" s="11">
        <v>100</v>
      </c>
    </row>
    <row r="34" spans="1:5" x14ac:dyDescent="0.35">
      <c r="D34" s="9">
        <f>SUM(D35,D41,D53)</f>
        <v>18.5</v>
      </c>
      <c r="E34" s="11">
        <v>75</v>
      </c>
    </row>
    <row r="35" spans="1:5" x14ac:dyDescent="0.35">
      <c r="B35" t="s">
        <v>39</v>
      </c>
      <c r="D35" s="9">
        <f>SUM(D36:D39)</f>
        <v>4</v>
      </c>
      <c r="E35" s="11">
        <f>SUM(E36:E39)</f>
        <v>25</v>
      </c>
    </row>
    <row r="36" spans="1:5" x14ac:dyDescent="0.35">
      <c r="C36" t="s">
        <v>40</v>
      </c>
      <c r="D36" s="7">
        <v>0</v>
      </c>
      <c r="E36" s="11">
        <v>5</v>
      </c>
    </row>
    <row r="37" spans="1:5" x14ac:dyDescent="0.35">
      <c r="C37" t="s">
        <v>41</v>
      </c>
      <c r="D37" s="7">
        <v>0</v>
      </c>
      <c r="E37" s="11">
        <v>5</v>
      </c>
    </row>
    <row r="38" spans="1:5" x14ac:dyDescent="0.35">
      <c r="C38" t="s">
        <v>42</v>
      </c>
      <c r="D38" s="7">
        <v>4</v>
      </c>
      <c r="E38" s="11">
        <v>5</v>
      </c>
    </row>
    <row r="39" spans="1:5" x14ac:dyDescent="0.35">
      <c r="C39" t="s">
        <v>43</v>
      </c>
      <c r="D39" s="7">
        <v>0</v>
      </c>
      <c r="E39" s="11">
        <v>10</v>
      </c>
    </row>
    <row r="41" spans="1:5" x14ac:dyDescent="0.35">
      <c r="B41" t="s">
        <v>44</v>
      </c>
      <c r="D41" s="9">
        <f>SUM(D42:D51)</f>
        <v>3.5</v>
      </c>
      <c r="E41" s="11">
        <f>SUM(E42:E51)</f>
        <v>25</v>
      </c>
    </row>
    <row r="42" spans="1:5" x14ac:dyDescent="0.35">
      <c r="B42" t="s">
        <v>45</v>
      </c>
      <c r="C42" t="s">
        <v>46</v>
      </c>
      <c r="D42" s="7">
        <v>0</v>
      </c>
      <c r="E42" s="11">
        <v>2</v>
      </c>
    </row>
    <row r="43" spans="1:5" x14ac:dyDescent="0.35">
      <c r="C43" t="s">
        <v>47</v>
      </c>
      <c r="D43" s="7">
        <v>0</v>
      </c>
      <c r="E43" s="11">
        <v>2</v>
      </c>
    </row>
    <row r="44" spans="1:5" x14ac:dyDescent="0.35">
      <c r="C44" t="s">
        <v>48</v>
      </c>
      <c r="D44" s="7">
        <v>0</v>
      </c>
      <c r="E44" s="11">
        <v>2</v>
      </c>
    </row>
    <row r="45" spans="1:5" x14ac:dyDescent="0.35">
      <c r="C45" t="s">
        <v>49</v>
      </c>
      <c r="D45" s="7">
        <v>0</v>
      </c>
      <c r="E45" s="11">
        <v>2</v>
      </c>
    </row>
    <row r="46" spans="1:5" x14ac:dyDescent="0.35">
      <c r="C46" t="s">
        <v>50</v>
      </c>
      <c r="D46" s="7">
        <v>0</v>
      </c>
      <c r="E46" s="11">
        <v>2</v>
      </c>
    </row>
    <row r="47" spans="1:5" x14ac:dyDescent="0.35">
      <c r="B47" t="s">
        <v>51</v>
      </c>
      <c r="C47" t="s">
        <v>46</v>
      </c>
      <c r="D47" s="7">
        <v>0</v>
      </c>
      <c r="E47" s="11">
        <v>3</v>
      </c>
    </row>
    <row r="48" spans="1:5" x14ac:dyDescent="0.35">
      <c r="C48" t="s">
        <v>52</v>
      </c>
      <c r="D48" s="7">
        <v>0</v>
      </c>
      <c r="E48" s="11">
        <v>3</v>
      </c>
    </row>
    <row r="49" spans="1:10" x14ac:dyDescent="0.35">
      <c r="C49" t="s">
        <v>48</v>
      </c>
      <c r="D49" s="7">
        <v>1.5</v>
      </c>
      <c r="E49" s="11">
        <v>3</v>
      </c>
    </row>
    <row r="50" spans="1:10" x14ac:dyDescent="0.35">
      <c r="C50" t="s">
        <v>49</v>
      </c>
      <c r="D50" s="7">
        <v>2</v>
      </c>
      <c r="E50" s="11">
        <v>3</v>
      </c>
    </row>
    <row r="51" spans="1:10" x14ac:dyDescent="0.35">
      <c r="C51" t="s">
        <v>53</v>
      </c>
      <c r="D51" s="7">
        <v>0</v>
      </c>
      <c r="E51" s="11">
        <v>3</v>
      </c>
    </row>
    <row r="53" spans="1:10" x14ac:dyDescent="0.35">
      <c r="B53" t="s">
        <v>54</v>
      </c>
      <c r="D53" s="9">
        <f>SUM(D54:D56)</f>
        <v>11</v>
      </c>
      <c r="E53" s="11">
        <v>25</v>
      </c>
    </row>
    <row r="54" spans="1:10" x14ac:dyDescent="0.35">
      <c r="B54" t="s">
        <v>55</v>
      </c>
      <c r="C54" t="s">
        <v>56</v>
      </c>
      <c r="D54" s="7">
        <v>8</v>
      </c>
      <c r="E54" s="11">
        <v>10</v>
      </c>
    </row>
    <row r="55" spans="1:10" x14ac:dyDescent="0.35">
      <c r="C55" t="s">
        <v>57</v>
      </c>
      <c r="D55" s="7">
        <v>0</v>
      </c>
      <c r="E55" s="11">
        <v>5</v>
      </c>
    </row>
    <row r="56" spans="1:10" x14ac:dyDescent="0.35">
      <c r="C56" t="s">
        <v>58</v>
      </c>
      <c r="D56" s="7">
        <v>3</v>
      </c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/>
      </c>
      <c r="C62" s="18" t="str">
        <f t="shared" si="0"/>
        <v>X</v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/>
      </c>
      <c r="J62">
        <f>D11/E11</f>
        <v>0.7</v>
      </c>
    </row>
    <row r="63" spans="1:10" ht="39" x14ac:dyDescent="0.35">
      <c r="A63" s="30" t="s">
        <v>29</v>
      </c>
      <c r="B63" s="18" t="str">
        <f t="shared" si="0"/>
        <v/>
      </c>
      <c r="C63" s="18" t="str">
        <f t="shared" si="0"/>
        <v>X</v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/>
      </c>
      <c r="J63">
        <f t="shared" ref="J63:J67" si="1">D12/E12</f>
        <v>0.75</v>
      </c>
    </row>
    <row r="64" spans="1:10" ht="26" x14ac:dyDescent="0.35">
      <c r="A64" s="30" t="s">
        <v>5</v>
      </c>
      <c r="B64" s="18" t="str">
        <f t="shared" si="0"/>
        <v/>
      </c>
      <c r="C64" s="18" t="str">
        <f t="shared" si="0"/>
        <v>X</v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/>
      </c>
      <c r="J64">
        <f t="shared" si="1"/>
        <v>0.75</v>
      </c>
    </row>
    <row r="65" spans="1:10" ht="26" x14ac:dyDescent="0.35">
      <c r="A65" s="31" t="s">
        <v>6</v>
      </c>
      <c r="B65" s="18" t="str">
        <f t="shared" si="0"/>
        <v/>
      </c>
      <c r="C65" s="18" t="str">
        <f t="shared" si="0"/>
        <v>X</v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/>
      </c>
      <c r="J65">
        <f t="shared" si="1"/>
        <v>0.83333333333333337</v>
      </c>
    </row>
    <row r="66" spans="1:10" x14ac:dyDescent="0.35">
      <c r="A66" s="31" t="s">
        <v>7</v>
      </c>
      <c r="B66" s="18" t="str">
        <f t="shared" si="0"/>
        <v/>
      </c>
      <c r="C66" s="18" t="str">
        <f t="shared" si="0"/>
        <v>X</v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/>
      </c>
      <c r="J66">
        <f t="shared" si="1"/>
        <v>0.7</v>
      </c>
    </row>
    <row r="67" spans="1:10" ht="15" thickBot="1" x14ac:dyDescent="0.4">
      <c r="A67" s="32" t="s">
        <v>8</v>
      </c>
      <c r="B67" s="20" t="str">
        <f t="shared" si="0"/>
        <v/>
      </c>
      <c r="C67" s="20" t="str">
        <f t="shared" si="0"/>
        <v>X</v>
      </c>
      <c r="D67" s="20" t="str">
        <f t="shared" si="0"/>
        <v/>
      </c>
      <c r="E67" s="20" t="str">
        <f t="shared" si="0"/>
        <v/>
      </c>
      <c r="F67" s="20" t="str">
        <f t="shared" si="0"/>
        <v/>
      </c>
      <c r="G67" s="20" t="str">
        <f t="shared" si="0"/>
        <v/>
      </c>
      <c r="H67" s="21" t="str">
        <f t="shared" si="0"/>
        <v/>
      </c>
      <c r="J67">
        <f t="shared" si="1"/>
        <v>0.7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/>
      </c>
      <c r="D69" s="16" t="str">
        <f t="shared" si="2"/>
        <v/>
      </c>
      <c r="E69" s="16" t="str">
        <f t="shared" si="2"/>
        <v>X</v>
      </c>
      <c r="F69" s="16" t="str">
        <f t="shared" si="2"/>
        <v/>
      </c>
      <c r="G69" s="16" t="str">
        <f t="shared" si="2"/>
        <v/>
      </c>
      <c r="H69" s="17" t="str">
        <f t="shared" si="2"/>
        <v/>
      </c>
      <c r="J69" s="24">
        <f>D19/E19</f>
        <v>0.5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/>
      </c>
      <c r="D70" s="18" t="str">
        <f t="shared" si="2"/>
        <v/>
      </c>
      <c r="E70" s="18" t="str">
        <f t="shared" si="2"/>
        <v>X</v>
      </c>
      <c r="F70" s="18" t="str">
        <f t="shared" si="2"/>
        <v/>
      </c>
      <c r="G70" s="18" t="str">
        <f t="shared" si="2"/>
        <v/>
      </c>
      <c r="H70" s="19" t="str">
        <f t="shared" si="2"/>
        <v/>
      </c>
      <c r="J70" s="24">
        <f t="shared" ref="J70:J71" si="3">D20/E20</f>
        <v>0.5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>X</v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/>
      </c>
      <c r="J71" s="24">
        <f t="shared" si="3"/>
        <v>0.75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/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>X</v>
      </c>
      <c r="J73" s="24">
        <f>D24/E24</f>
        <v>0</v>
      </c>
    </row>
    <row r="74" spans="1:10" ht="26" x14ac:dyDescent="0.35">
      <c r="A74" s="31" t="s">
        <v>9</v>
      </c>
      <c r="B74" s="18" t="str">
        <f t="shared" si="4"/>
        <v/>
      </c>
      <c r="C74" s="18" t="str">
        <f t="shared" si="4"/>
        <v/>
      </c>
      <c r="D74" s="18" t="str">
        <f t="shared" si="4"/>
        <v/>
      </c>
      <c r="E74" s="18" t="str">
        <f t="shared" si="4"/>
        <v/>
      </c>
      <c r="F74" s="18" t="str">
        <f t="shared" si="4"/>
        <v/>
      </c>
      <c r="G74" s="18" t="str">
        <f t="shared" si="4"/>
        <v>X</v>
      </c>
      <c r="H74" s="19" t="str">
        <f t="shared" si="4"/>
        <v/>
      </c>
      <c r="J74" s="24">
        <f t="shared" ref="J74:J80" si="5">D25/E25</f>
        <v>0.2</v>
      </c>
    </row>
    <row r="75" spans="1:10" ht="26" x14ac:dyDescent="0.35">
      <c r="A75" s="31" t="s">
        <v>10</v>
      </c>
      <c r="B75" s="18" t="str">
        <f t="shared" si="4"/>
        <v/>
      </c>
      <c r="C75" s="18" t="str">
        <f t="shared" si="4"/>
        <v/>
      </c>
      <c r="D75" s="18" t="str">
        <f t="shared" si="4"/>
        <v/>
      </c>
      <c r="E75" s="18" t="str">
        <f t="shared" si="4"/>
        <v/>
      </c>
      <c r="F75" s="18" t="str">
        <f t="shared" si="4"/>
        <v/>
      </c>
      <c r="G75" s="18" t="str">
        <f t="shared" si="4"/>
        <v/>
      </c>
      <c r="H75" s="19" t="str">
        <f t="shared" si="4"/>
        <v>X</v>
      </c>
      <c r="J75" s="24">
        <f t="shared" si="5"/>
        <v>0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/>
      </c>
      <c r="D76" s="18" t="str">
        <f t="shared" si="4"/>
        <v/>
      </c>
      <c r="E76" s="18" t="str">
        <f t="shared" si="4"/>
        <v/>
      </c>
      <c r="F76" s="18" t="str">
        <f t="shared" si="4"/>
        <v/>
      </c>
      <c r="G76" s="18" t="str">
        <f t="shared" si="4"/>
        <v/>
      </c>
      <c r="H76" s="19" t="str">
        <f t="shared" si="4"/>
        <v>X</v>
      </c>
      <c r="J76" s="24">
        <f t="shared" si="5"/>
        <v>0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/>
      </c>
      <c r="D77" s="18" t="str">
        <f t="shared" si="4"/>
        <v/>
      </c>
      <c r="E77" s="18" t="str">
        <f t="shared" si="4"/>
        <v/>
      </c>
      <c r="F77" s="18" t="str">
        <f t="shared" si="4"/>
        <v/>
      </c>
      <c r="G77" s="18" t="str">
        <f t="shared" si="4"/>
        <v/>
      </c>
      <c r="H77" s="19" t="str">
        <f t="shared" si="4"/>
        <v>X</v>
      </c>
      <c r="J77" s="24">
        <f t="shared" si="5"/>
        <v>0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/>
      </c>
      <c r="D78" s="18" t="str">
        <f t="shared" si="4"/>
        <v/>
      </c>
      <c r="E78" s="18" t="str">
        <f t="shared" si="4"/>
        <v/>
      </c>
      <c r="F78" s="18" t="str">
        <f t="shared" si="4"/>
        <v/>
      </c>
      <c r="G78" s="18" t="str">
        <f t="shared" si="4"/>
        <v/>
      </c>
      <c r="H78" s="19" t="str">
        <f t="shared" si="4"/>
        <v>X</v>
      </c>
      <c r="J78" s="24">
        <f t="shared" si="5"/>
        <v>0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/>
      </c>
      <c r="D79" s="18" t="str">
        <f t="shared" si="4"/>
        <v/>
      </c>
      <c r="E79" s="18" t="str">
        <f t="shared" si="4"/>
        <v/>
      </c>
      <c r="F79" s="18" t="str">
        <f t="shared" si="4"/>
        <v/>
      </c>
      <c r="G79" s="18" t="str">
        <f t="shared" si="4"/>
        <v/>
      </c>
      <c r="H79" s="19" t="str">
        <f t="shared" si="4"/>
        <v>X</v>
      </c>
      <c r="J79" s="24">
        <f t="shared" si="5"/>
        <v>0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/>
      </c>
      <c r="D80" s="20" t="str">
        <f t="shared" si="4"/>
        <v/>
      </c>
      <c r="E80" s="20" t="str">
        <f t="shared" si="4"/>
        <v/>
      </c>
      <c r="F80" s="20" t="str">
        <f t="shared" si="4"/>
        <v/>
      </c>
      <c r="G80" s="20" t="str">
        <f t="shared" si="4"/>
        <v/>
      </c>
      <c r="H80" s="21" t="str">
        <f t="shared" si="4"/>
        <v>X</v>
      </c>
      <c r="J80" s="24">
        <f t="shared" si="5"/>
        <v>0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/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/>
      </c>
      <c r="G82" s="16" t="str">
        <f t="shared" si="6"/>
        <v/>
      </c>
      <c r="H82" s="17" t="str">
        <f t="shared" si="6"/>
        <v>X</v>
      </c>
      <c r="J82" s="24">
        <f>D35/E35</f>
        <v>0.16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/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/>
      </c>
      <c r="H83" s="19" t="str">
        <f t="shared" si="6"/>
        <v>X</v>
      </c>
      <c r="J83" s="24">
        <f>D41/E41</f>
        <v>0.14000000000000001</v>
      </c>
    </row>
    <row r="84" spans="1:10" ht="15" thickBot="1" x14ac:dyDescent="0.4">
      <c r="A84" s="34" t="s">
        <v>54</v>
      </c>
      <c r="B84" s="22" t="str">
        <f t="shared" si="6"/>
        <v/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>X</v>
      </c>
      <c r="G84" s="22" t="str">
        <f t="shared" si="6"/>
        <v/>
      </c>
      <c r="H84" s="23" t="str">
        <f t="shared" si="6"/>
        <v/>
      </c>
      <c r="J84" s="24">
        <f>D53/E53</f>
        <v>0.44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EFAA8-D250-49CD-A0BB-91035E34057D}">
  <dimension ref="A1:J88"/>
  <sheetViews>
    <sheetView workbookViewId="0">
      <selection activeCell="A3" sqref="A3"/>
    </sheetView>
  </sheetViews>
  <sheetFormatPr defaultRowHeight="14.5" x14ac:dyDescent="0.35"/>
  <cols>
    <col min="1" max="1" width="12.453125" customWidth="1"/>
    <col min="2" max="2" width="29.81640625" customWidth="1"/>
    <col min="3" max="3" width="32.08984375" customWidth="1"/>
    <col min="4" max="8" width="9.90625" customWidth="1"/>
    <col min="9" max="1025" width="8.54296875" customWidth="1"/>
  </cols>
  <sheetData>
    <row r="1" spans="1:10" x14ac:dyDescent="0.35">
      <c r="A1" t="s">
        <v>2</v>
      </c>
      <c r="B1" t="s">
        <v>106</v>
      </c>
      <c r="D1" t="s">
        <v>3</v>
      </c>
      <c r="E1">
        <f>D8</f>
        <v>57</v>
      </c>
      <c r="G1">
        <f>D3</f>
        <v>71</v>
      </c>
      <c r="H1">
        <f>D4</f>
        <v>0</v>
      </c>
      <c r="I1">
        <f>D5</f>
        <v>66</v>
      </c>
      <c r="J1">
        <f>D6</f>
        <v>90.666666666666671</v>
      </c>
    </row>
    <row r="2" spans="1:10" x14ac:dyDescent="0.35">
      <c r="A2">
        <v>1000006</v>
      </c>
    </row>
    <row r="3" spans="1:10" x14ac:dyDescent="0.35">
      <c r="A3" t="s">
        <v>21</v>
      </c>
      <c r="D3" s="9">
        <f>D10</f>
        <v>71</v>
      </c>
    </row>
    <row r="4" spans="1:10" x14ac:dyDescent="0.35">
      <c r="A4" t="s">
        <v>23</v>
      </c>
      <c r="D4" s="9">
        <f>D18</f>
        <v>0</v>
      </c>
    </row>
    <row r="5" spans="1:10" x14ac:dyDescent="0.35">
      <c r="A5" t="s">
        <v>25</v>
      </c>
      <c r="D5" s="9">
        <f>D23</f>
        <v>66</v>
      </c>
    </row>
    <row r="6" spans="1:10" x14ac:dyDescent="0.35">
      <c r="A6" t="s">
        <v>24</v>
      </c>
      <c r="D6" s="9">
        <f>D33</f>
        <v>90.666666666666671</v>
      </c>
    </row>
    <row r="7" spans="1:10" x14ac:dyDescent="0.35">
      <c r="A7" t="s">
        <v>26</v>
      </c>
      <c r="D7" s="9">
        <f>SUM(D3:D6)</f>
        <v>227.66666666666669</v>
      </c>
    </row>
    <row r="8" spans="1:10" x14ac:dyDescent="0.35">
      <c r="A8" t="s">
        <v>27</v>
      </c>
      <c r="D8" s="9">
        <f>ROUNDUP(D7/4,0)</f>
        <v>57</v>
      </c>
    </row>
    <row r="9" spans="1:10" x14ac:dyDescent="0.35">
      <c r="D9" t="s">
        <v>3</v>
      </c>
      <c r="E9" t="s">
        <v>22</v>
      </c>
      <c r="F9" t="s">
        <v>4</v>
      </c>
    </row>
    <row r="10" spans="1:10" x14ac:dyDescent="0.35">
      <c r="A10" t="str">
        <f>A3</f>
        <v>1. OOP Essay [25%]</v>
      </c>
      <c r="D10" s="10">
        <f>SUM(D11:D16)</f>
        <v>71</v>
      </c>
      <c r="E10" s="11">
        <f>SUM(E11:E16)</f>
        <v>100</v>
      </c>
    </row>
    <row r="11" spans="1:10" x14ac:dyDescent="0.35">
      <c r="B11" t="s">
        <v>28</v>
      </c>
      <c r="D11" s="7">
        <v>6</v>
      </c>
      <c r="E11" s="11">
        <v>10</v>
      </c>
    </row>
    <row r="12" spans="1:10" x14ac:dyDescent="0.35">
      <c r="B12" t="s">
        <v>29</v>
      </c>
      <c r="D12" s="7">
        <v>15</v>
      </c>
      <c r="E12" s="11">
        <v>20</v>
      </c>
    </row>
    <row r="13" spans="1:10" x14ac:dyDescent="0.35">
      <c r="B13" t="s">
        <v>5</v>
      </c>
      <c r="D13" s="7">
        <v>15</v>
      </c>
      <c r="E13" s="11">
        <v>20</v>
      </c>
    </row>
    <row r="14" spans="1:10" x14ac:dyDescent="0.35">
      <c r="B14" t="s">
        <v>6</v>
      </c>
      <c r="D14" s="7">
        <v>23</v>
      </c>
      <c r="E14" s="11">
        <v>30</v>
      </c>
    </row>
    <row r="15" spans="1:10" x14ac:dyDescent="0.35">
      <c r="B15" t="s">
        <v>7</v>
      </c>
      <c r="D15" s="7">
        <v>6</v>
      </c>
      <c r="E15" s="11">
        <v>10</v>
      </c>
    </row>
    <row r="16" spans="1:10" x14ac:dyDescent="0.35">
      <c r="B16" t="s">
        <v>8</v>
      </c>
      <c r="D16" s="7">
        <v>6</v>
      </c>
      <c r="E16" s="11">
        <v>10</v>
      </c>
    </row>
    <row r="18" spans="1:5" x14ac:dyDescent="0.35">
      <c r="A18" t="str">
        <f>A4</f>
        <v>2. Zoo Design [25%]</v>
      </c>
      <c r="D18" s="9">
        <f>SUM(D19:D21)</f>
        <v>0</v>
      </c>
      <c r="E18" s="11">
        <f>SUM(E19:E21)</f>
        <v>100</v>
      </c>
    </row>
    <row r="19" spans="1:5" x14ac:dyDescent="0.35">
      <c r="B19" t="s">
        <v>30</v>
      </c>
      <c r="D19" s="7">
        <v>0</v>
      </c>
      <c r="E19" s="11">
        <v>30</v>
      </c>
    </row>
    <row r="20" spans="1:5" x14ac:dyDescent="0.35">
      <c r="B20" t="s">
        <v>31</v>
      </c>
      <c r="D20" s="7">
        <v>0</v>
      </c>
      <c r="E20" s="11">
        <v>50</v>
      </c>
    </row>
    <row r="21" spans="1:5" x14ac:dyDescent="0.35">
      <c r="B21" t="s">
        <v>32</v>
      </c>
      <c r="D21" s="7">
        <v>0</v>
      </c>
      <c r="E21" s="11">
        <v>20</v>
      </c>
    </row>
    <row r="23" spans="1:5" x14ac:dyDescent="0.35">
      <c r="A23" t="str">
        <f>A5</f>
        <v>3. Zoo Application [25%]</v>
      </c>
      <c r="D23" s="8">
        <f>SUM(D24:D31)</f>
        <v>66</v>
      </c>
      <c r="E23" s="11">
        <f>SUM(E24:E30)</f>
        <v>80</v>
      </c>
    </row>
    <row r="24" spans="1:5" x14ac:dyDescent="0.35">
      <c r="B24" t="s">
        <v>33</v>
      </c>
      <c r="D24" s="7">
        <v>10</v>
      </c>
      <c r="E24" s="11">
        <v>10</v>
      </c>
    </row>
    <row r="25" spans="1:5" x14ac:dyDescent="0.35">
      <c r="B25" t="s">
        <v>9</v>
      </c>
      <c r="D25" s="7">
        <v>8</v>
      </c>
      <c r="E25" s="11">
        <v>10</v>
      </c>
    </row>
    <row r="26" spans="1:5" x14ac:dyDescent="0.35">
      <c r="B26" t="s">
        <v>10</v>
      </c>
      <c r="D26" s="7">
        <v>18</v>
      </c>
      <c r="E26" s="11">
        <v>20</v>
      </c>
    </row>
    <row r="27" spans="1:5" x14ac:dyDescent="0.35">
      <c r="B27" t="s">
        <v>34</v>
      </c>
      <c r="D27" s="7">
        <v>8</v>
      </c>
      <c r="E27" s="11">
        <v>10</v>
      </c>
    </row>
    <row r="28" spans="1:5" x14ac:dyDescent="0.35">
      <c r="B28" t="s">
        <v>35</v>
      </c>
      <c r="D28" s="7">
        <v>8</v>
      </c>
      <c r="E28" s="11">
        <v>10</v>
      </c>
    </row>
    <row r="29" spans="1:5" x14ac:dyDescent="0.35">
      <c r="B29" t="s">
        <v>36</v>
      </c>
      <c r="D29" s="7">
        <v>0</v>
      </c>
      <c r="E29" s="11">
        <v>10</v>
      </c>
    </row>
    <row r="30" spans="1:5" x14ac:dyDescent="0.35">
      <c r="B30" t="s">
        <v>37</v>
      </c>
      <c r="D30" s="7">
        <v>6</v>
      </c>
      <c r="E30" s="11">
        <v>10</v>
      </c>
    </row>
    <row r="31" spans="1:5" x14ac:dyDescent="0.35">
      <c r="B31" t="s">
        <v>38</v>
      </c>
      <c r="D31" s="7">
        <v>8</v>
      </c>
      <c r="E31" s="11">
        <v>20</v>
      </c>
    </row>
    <row r="33" spans="1:5" x14ac:dyDescent="0.35">
      <c r="A33" t="str">
        <f>A6</f>
        <v>4 Assessment Exercises [25%]</v>
      </c>
      <c r="D33" s="9">
        <f>D34*4/3</f>
        <v>90.666666666666671</v>
      </c>
      <c r="E33" s="11">
        <v>100</v>
      </c>
    </row>
    <row r="34" spans="1:5" x14ac:dyDescent="0.35">
      <c r="D34" s="9">
        <f>SUM(D35,D41,D53)</f>
        <v>68</v>
      </c>
      <c r="E34" s="11">
        <v>75</v>
      </c>
    </row>
    <row r="35" spans="1:5" x14ac:dyDescent="0.35">
      <c r="B35" t="s">
        <v>39</v>
      </c>
      <c r="D35" s="9">
        <f>SUM(D36:D39)</f>
        <v>23</v>
      </c>
      <c r="E35" s="11">
        <f>SUM(E36:E39)</f>
        <v>25</v>
      </c>
    </row>
    <row r="36" spans="1:5" x14ac:dyDescent="0.35">
      <c r="C36" t="s">
        <v>40</v>
      </c>
      <c r="D36" s="7">
        <v>5</v>
      </c>
      <c r="E36" s="11">
        <v>5</v>
      </c>
    </row>
    <row r="37" spans="1:5" x14ac:dyDescent="0.35">
      <c r="C37" t="s">
        <v>41</v>
      </c>
      <c r="D37" s="7">
        <v>5</v>
      </c>
      <c r="E37" s="11">
        <v>5</v>
      </c>
    </row>
    <row r="38" spans="1:5" x14ac:dyDescent="0.35">
      <c r="C38" t="s">
        <v>42</v>
      </c>
      <c r="D38" s="7">
        <v>5</v>
      </c>
      <c r="E38" s="11">
        <v>5</v>
      </c>
    </row>
    <row r="39" spans="1:5" x14ac:dyDescent="0.35">
      <c r="C39" t="s">
        <v>43</v>
      </c>
      <c r="D39" s="7">
        <v>8</v>
      </c>
      <c r="E39" s="11">
        <v>10</v>
      </c>
    </row>
    <row r="41" spans="1:5" x14ac:dyDescent="0.35">
      <c r="B41" t="s">
        <v>44</v>
      </c>
      <c r="D41" s="9">
        <f>SUM(D42:D51)</f>
        <v>20</v>
      </c>
      <c r="E41" s="11">
        <f>SUM(E42:E51)</f>
        <v>25</v>
      </c>
    </row>
    <row r="42" spans="1:5" x14ac:dyDescent="0.35">
      <c r="B42" t="s">
        <v>45</v>
      </c>
      <c r="C42" t="s">
        <v>46</v>
      </c>
      <c r="D42" s="7">
        <v>2</v>
      </c>
      <c r="E42" s="11">
        <v>2</v>
      </c>
    </row>
    <row r="43" spans="1:5" x14ac:dyDescent="0.35">
      <c r="C43" t="s">
        <v>47</v>
      </c>
      <c r="D43" s="7">
        <v>2</v>
      </c>
      <c r="E43" s="11">
        <v>2</v>
      </c>
    </row>
    <row r="44" spans="1:5" x14ac:dyDescent="0.35">
      <c r="C44" t="s">
        <v>48</v>
      </c>
      <c r="D44" s="7">
        <v>2</v>
      </c>
      <c r="E44" s="11">
        <v>2</v>
      </c>
    </row>
    <row r="45" spans="1:5" x14ac:dyDescent="0.35">
      <c r="C45" t="s">
        <v>49</v>
      </c>
      <c r="D45" s="7">
        <v>2</v>
      </c>
      <c r="E45" s="11">
        <v>2</v>
      </c>
    </row>
    <row r="46" spans="1:5" x14ac:dyDescent="0.35">
      <c r="C46" t="s">
        <v>50</v>
      </c>
      <c r="D46" s="7">
        <v>0</v>
      </c>
      <c r="E46" s="11">
        <v>2</v>
      </c>
    </row>
    <row r="47" spans="1:5" x14ac:dyDescent="0.35">
      <c r="B47" t="s">
        <v>51</v>
      </c>
      <c r="C47" t="s">
        <v>46</v>
      </c>
      <c r="D47" s="7">
        <v>3</v>
      </c>
      <c r="E47" s="11">
        <v>3</v>
      </c>
    </row>
    <row r="48" spans="1:5" x14ac:dyDescent="0.35">
      <c r="C48" t="s">
        <v>52</v>
      </c>
      <c r="D48" s="7">
        <v>3</v>
      </c>
      <c r="E48" s="11">
        <v>3</v>
      </c>
    </row>
    <row r="49" spans="1:10" x14ac:dyDescent="0.35">
      <c r="C49" t="s">
        <v>48</v>
      </c>
      <c r="D49" s="7">
        <v>3</v>
      </c>
      <c r="E49" s="11">
        <v>3</v>
      </c>
    </row>
    <row r="50" spans="1:10" x14ac:dyDescent="0.35">
      <c r="C50" t="s">
        <v>49</v>
      </c>
      <c r="D50" s="7">
        <v>3</v>
      </c>
      <c r="E50" s="11">
        <v>3</v>
      </c>
    </row>
    <row r="51" spans="1:10" x14ac:dyDescent="0.35">
      <c r="C51" t="s">
        <v>53</v>
      </c>
      <c r="D51" s="7">
        <v>0</v>
      </c>
      <c r="E51" s="11">
        <v>3</v>
      </c>
    </row>
    <row r="53" spans="1:10" x14ac:dyDescent="0.35">
      <c r="B53" t="s">
        <v>54</v>
      </c>
      <c r="D53" s="9">
        <f>SUM(D54:D56)</f>
        <v>25</v>
      </c>
      <c r="E53" s="11">
        <v>25</v>
      </c>
    </row>
    <row r="54" spans="1:10" x14ac:dyDescent="0.35">
      <c r="B54" t="s">
        <v>55</v>
      </c>
      <c r="C54" t="s">
        <v>56</v>
      </c>
      <c r="D54" s="7">
        <v>10</v>
      </c>
      <c r="E54" s="11">
        <v>10</v>
      </c>
    </row>
    <row r="55" spans="1:10" x14ac:dyDescent="0.35">
      <c r="C55" t="s">
        <v>57</v>
      </c>
      <c r="D55" s="7">
        <v>5</v>
      </c>
      <c r="E55" s="11">
        <v>5</v>
      </c>
    </row>
    <row r="56" spans="1:10" x14ac:dyDescent="0.35">
      <c r="C56" t="s">
        <v>58</v>
      </c>
      <c r="D56" s="7">
        <v>10</v>
      </c>
      <c r="E56" s="11">
        <v>10</v>
      </c>
    </row>
    <row r="58" spans="1:10" ht="15" thickBot="1" x14ac:dyDescent="0.4"/>
    <row r="59" spans="1:10" ht="28.5" thickBot="1" x14ac:dyDescent="0.4">
      <c r="A59" s="12" t="s">
        <v>59</v>
      </c>
      <c r="B59" s="13" t="s">
        <v>60</v>
      </c>
      <c r="C59" s="14"/>
      <c r="D59" s="14"/>
      <c r="E59" s="14"/>
      <c r="F59" s="14"/>
      <c r="G59" s="14"/>
      <c r="H59" s="15"/>
    </row>
    <row r="60" spans="1:10" ht="33" customHeight="1" thickBot="1" x14ac:dyDescent="0.4">
      <c r="A60" s="35"/>
      <c r="B60" s="36" t="s">
        <v>61</v>
      </c>
      <c r="C60" s="36" t="s">
        <v>62</v>
      </c>
      <c r="D60" s="36" t="s">
        <v>63</v>
      </c>
      <c r="E60" s="36" t="s">
        <v>64</v>
      </c>
      <c r="F60" s="36" t="s">
        <v>65</v>
      </c>
      <c r="G60" s="37" t="s">
        <v>66</v>
      </c>
      <c r="H60" s="38" t="s">
        <v>67</v>
      </c>
    </row>
    <row r="61" spans="1:10" ht="18" customHeight="1" x14ac:dyDescent="0.35">
      <c r="A61" s="12" t="s">
        <v>69</v>
      </c>
      <c r="B61" s="13"/>
      <c r="C61" s="13"/>
      <c r="D61" s="13"/>
      <c r="E61" s="13"/>
      <c r="F61" s="13"/>
      <c r="G61" s="13"/>
      <c r="H61" s="26"/>
    </row>
    <row r="62" spans="1:10" x14ac:dyDescent="0.35">
      <c r="A62" s="30" t="s">
        <v>68</v>
      </c>
      <c r="B62" s="18" t="str">
        <f t="shared" ref="B62:H67" si="0">IF(AND($J62&gt;=B$87,$J62&lt;B$88),"X","")</f>
        <v/>
      </c>
      <c r="C62" s="18" t="str">
        <f t="shared" si="0"/>
        <v>X</v>
      </c>
      <c r="D62" s="18" t="str">
        <f t="shared" si="0"/>
        <v/>
      </c>
      <c r="E62" s="18" t="str">
        <f t="shared" si="0"/>
        <v/>
      </c>
      <c r="F62" s="18" t="str">
        <f t="shared" si="0"/>
        <v/>
      </c>
      <c r="G62" s="18" t="str">
        <f t="shared" si="0"/>
        <v/>
      </c>
      <c r="H62" s="19" t="str">
        <f t="shared" si="0"/>
        <v/>
      </c>
      <c r="J62">
        <f>D11/E11</f>
        <v>0.6</v>
      </c>
    </row>
    <row r="63" spans="1:10" ht="39" x14ac:dyDescent="0.35">
      <c r="A63" s="30" t="s">
        <v>29</v>
      </c>
      <c r="B63" s="18" t="str">
        <f t="shared" si="0"/>
        <v/>
      </c>
      <c r="C63" s="18" t="str">
        <f t="shared" si="0"/>
        <v>X</v>
      </c>
      <c r="D63" s="18" t="str">
        <f t="shared" si="0"/>
        <v/>
      </c>
      <c r="E63" s="18" t="str">
        <f t="shared" si="0"/>
        <v/>
      </c>
      <c r="F63" s="18" t="str">
        <f t="shared" si="0"/>
        <v/>
      </c>
      <c r="G63" s="18" t="str">
        <f t="shared" si="0"/>
        <v/>
      </c>
      <c r="H63" s="19" t="str">
        <f t="shared" si="0"/>
        <v/>
      </c>
      <c r="J63">
        <f t="shared" ref="J63:J67" si="1">D12/E12</f>
        <v>0.75</v>
      </c>
    </row>
    <row r="64" spans="1:10" ht="26" x14ac:dyDescent="0.35">
      <c r="A64" s="30" t="s">
        <v>5</v>
      </c>
      <c r="B64" s="18" t="str">
        <f t="shared" si="0"/>
        <v/>
      </c>
      <c r="C64" s="18" t="str">
        <f t="shared" si="0"/>
        <v>X</v>
      </c>
      <c r="D64" s="18" t="str">
        <f t="shared" si="0"/>
        <v/>
      </c>
      <c r="E64" s="18" t="str">
        <f t="shared" si="0"/>
        <v/>
      </c>
      <c r="F64" s="18" t="str">
        <f t="shared" si="0"/>
        <v/>
      </c>
      <c r="G64" s="18" t="str">
        <f t="shared" si="0"/>
        <v/>
      </c>
      <c r="H64" s="19" t="str">
        <f t="shared" si="0"/>
        <v/>
      </c>
      <c r="J64">
        <f t="shared" si="1"/>
        <v>0.75</v>
      </c>
    </row>
    <row r="65" spans="1:10" ht="26" x14ac:dyDescent="0.35">
      <c r="A65" s="31" t="s">
        <v>6</v>
      </c>
      <c r="B65" s="18" t="str">
        <f t="shared" si="0"/>
        <v/>
      </c>
      <c r="C65" s="18" t="str">
        <f t="shared" si="0"/>
        <v>X</v>
      </c>
      <c r="D65" s="18" t="str">
        <f t="shared" si="0"/>
        <v/>
      </c>
      <c r="E65" s="18" t="str">
        <f t="shared" si="0"/>
        <v/>
      </c>
      <c r="F65" s="18" t="str">
        <f t="shared" si="0"/>
        <v/>
      </c>
      <c r="G65" s="18" t="str">
        <f t="shared" si="0"/>
        <v/>
      </c>
      <c r="H65" s="19" t="str">
        <f t="shared" si="0"/>
        <v/>
      </c>
      <c r="J65">
        <f t="shared" si="1"/>
        <v>0.76666666666666672</v>
      </c>
    </row>
    <row r="66" spans="1:10" x14ac:dyDescent="0.35">
      <c r="A66" s="31" t="s">
        <v>7</v>
      </c>
      <c r="B66" s="18" t="str">
        <f t="shared" si="0"/>
        <v/>
      </c>
      <c r="C66" s="18" t="str">
        <f t="shared" si="0"/>
        <v>X</v>
      </c>
      <c r="D66" s="18" t="str">
        <f t="shared" si="0"/>
        <v/>
      </c>
      <c r="E66" s="18" t="str">
        <f t="shared" si="0"/>
        <v/>
      </c>
      <c r="F66" s="18" t="str">
        <f t="shared" si="0"/>
        <v/>
      </c>
      <c r="G66" s="18" t="str">
        <f t="shared" si="0"/>
        <v/>
      </c>
      <c r="H66" s="19" t="str">
        <f t="shared" si="0"/>
        <v/>
      </c>
      <c r="J66">
        <f t="shared" si="1"/>
        <v>0.6</v>
      </c>
    </row>
    <row r="67" spans="1:10" ht="15" thickBot="1" x14ac:dyDescent="0.4">
      <c r="A67" s="32" t="s">
        <v>8</v>
      </c>
      <c r="B67" s="20" t="str">
        <f t="shared" si="0"/>
        <v/>
      </c>
      <c r="C67" s="20" t="str">
        <f t="shared" si="0"/>
        <v>X</v>
      </c>
      <c r="D67" s="20" t="str">
        <f t="shared" si="0"/>
        <v/>
      </c>
      <c r="E67" s="20" t="str">
        <f t="shared" si="0"/>
        <v/>
      </c>
      <c r="F67" s="20" t="str">
        <f t="shared" si="0"/>
        <v/>
      </c>
      <c r="G67" s="20" t="str">
        <f t="shared" si="0"/>
        <v/>
      </c>
      <c r="H67" s="21" t="str">
        <f t="shared" si="0"/>
        <v/>
      </c>
      <c r="J67">
        <f t="shared" si="1"/>
        <v>0.6</v>
      </c>
    </row>
    <row r="68" spans="1:10" ht="15" thickBot="1" x14ac:dyDescent="0.4">
      <c r="A68" s="27" t="s">
        <v>70</v>
      </c>
      <c r="B68" s="28"/>
      <c r="C68" s="28"/>
      <c r="D68" s="28"/>
      <c r="E68" s="28"/>
      <c r="F68" s="28"/>
      <c r="G68" s="28"/>
      <c r="H68" s="29"/>
    </row>
    <row r="69" spans="1:10" ht="26" x14ac:dyDescent="0.35">
      <c r="A69" s="33" t="s">
        <v>30</v>
      </c>
      <c r="B69" s="16" t="str">
        <f t="shared" ref="B69:H71" si="2">IF(AND($J69&gt;=B$87,$J69&lt;B$88),"X","")</f>
        <v/>
      </c>
      <c r="C69" s="16" t="str">
        <f t="shared" si="2"/>
        <v/>
      </c>
      <c r="D69" s="16" t="str">
        <f t="shared" si="2"/>
        <v/>
      </c>
      <c r="E69" s="16" t="str">
        <f t="shared" si="2"/>
        <v/>
      </c>
      <c r="F69" s="16" t="str">
        <f t="shared" si="2"/>
        <v/>
      </c>
      <c r="G69" s="16" t="str">
        <f t="shared" si="2"/>
        <v/>
      </c>
      <c r="H69" s="17" t="str">
        <f t="shared" si="2"/>
        <v>X</v>
      </c>
      <c r="J69" s="24">
        <f>D19/E19</f>
        <v>0</v>
      </c>
    </row>
    <row r="70" spans="1:10" x14ac:dyDescent="0.35">
      <c r="A70" s="31" t="s">
        <v>31</v>
      </c>
      <c r="B70" s="18" t="str">
        <f t="shared" si="2"/>
        <v/>
      </c>
      <c r="C70" s="18" t="str">
        <f t="shared" si="2"/>
        <v/>
      </c>
      <c r="D70" s="18" t="str">
        <f t="shared" si="2"/>
        <v/>
      </c>
      <c r="E70" s="18" t="str">
        <f t="shared" si="2"/>
        <v/>
      </c>
      <c r="F70" s="18" t="str">
        <f t="shared" si="2"/>
        <v/>
      </c>
      <c r="G70" s="18" t="str">
        <f t="shared" si="2"/>
        <v/>
      </c>
      <c r="H70" s="19" t="str">
        <f t="shared" si="2"/>
        <v>X</v>
      </c>
      <c r="J70" s="24">
        <f t="shared" ref="J70:J71" si="3">D20/E20</f>
        <v>0</v>
      </c>
    </row>
    <row r="71" spans="1:10" ht="39.5" thickBot="1" x14ac:dyDescent="0.4">
      <c r="A71" s="32" t="s">
        <v>32</v>
      </c>
      <c r="B71" s="20" t="str">
        <f t="shared" si="2"/>
        <v/>
      </c>
      <c r="C71" s="20" t="str">
        <f t="shared" si="2"/>
        <v/>
      </c>
      <c r="D71" s="20" t="str">
        <f t="shared" si="2"/>
        <v/>
      </c>
      <c r="E71" s="20" t="str">
        <f t="shared" si="2"/>
        <v/>
      </c>
      <c r="F71" s="20" t="str">
        <f t="shared" si="2"/>
        <v/>
      </c>
      <c r="G71" s="20" t="str">
        <f t="shared" si="2"/>
        <v/>
      </c>
      <c r="H71" s="21" t="str">
        <f t="shared" si="2"/>
        <v>X</v>
      </c>
      <c r="J71" s="24">
        <f t="shared" si="3"/>
        <v>0</v>
      </c>
    </row>
    <row r="72" spans="1:10" ht="29.5" thickBot="1" x14ac:dyDescent="0.4">
      <c r="A72" s="27" t="s">
        <v>71</v>
      </c>
      <c r="B72" s="28"/>
      <c r="C72" s="28"/>
      <c r="D72" s="28"/>
      <c r="E72" s="28"/>
      <c r="F72" s="28"/>
      <c r="G72" s="28"/>
      <c r="H72" s="29"/>
      <c r="J72" s="25"/>
    </row>
    <row r="73" spans="1:10" ht="26" x14ac:dyDescent="0.35">
      <c r="A73" s="33" t="s">
        <v>33</v>
      </c>
      <c r="B73" s="16" t="str">
        <f t="shared" ref="B73:H80" si="4">IF(AND($J73&gt;=B$87,$J73&lt;B$88),"X","")</f>
        <v>X</v>
      </c>
      <c r="C73" s="16" t="str">
        <f t="shared" si="4"/>
        <v/>
      </c>
      <c r="D73" s="16" t="str">
        <f t="shared" si="4"/>
        <v/>
      </c>
      <c r="E73" s="16" t="str">
        <f t="shared" si="4"/>
        <v/>
      </c>
      <c r="F73" s="16" t="str">
        <f t="shared" si="4"/>
        <v/>
      </c>
      <c r="G73" s="16" t="str">
        <f t="shared" si="4"/>
        <v/>
      </c>
      <c r="H73" s="17" t="str">
        <f t="shared" si="4"/>
        <v/>
      </c>
      <c r="J73" s="24">
        <f>D24/E24</f>
        <v>1</v>
      </c>
    </row>
    <row r="74" spans="1:10" ht="26" x14ac:dyDescent="0.35">
      <c r="A74" s="31" t="s">
        <v>9</v>
      </c>
      <c r="B74" s="18" t="str">
        <f t="shared" si="4"/>
        <v/>
      </c>
      <c r="C74" s="18" t="str">
        <f t="shared" si="4"/>
        <v>X</v>
      </c>
      <c r="D74" s="18" t="str">
        <f t="shared" si="4"/>
        <v/>
      </c>
      <c r="E74" s="18" t="str">
        <f t="shared" si="4"/>
        <v/>
      </c>
      <c r="F74" s="18" t="str">
        <f t="shared" si="4"/>
        <v/>
      </c>
      <c r="G74" s="18" t="str">
        <f t="shared" si="4"/>
        <v/>
      </c>
      <c r="H74" s="19" t="str">
        <f t="shared" si="4"/>
        <v/>
      </c>
      <c r="J74" s="24">
        <f t="shared" ref="J74:J80" si="5">D25/E25</f>
        <v>0.8</v>
      </c>
    </row>
    <row r="75" spans="1:10" ht="26" x14ac:dyDescent="0.35">
      <c r="A75" s="31" t="s">
        <v>10</v>
      </c>
      <c r="B75" s="18" t="str">
        <f t="shared" si="4"/>
        <v>X</v>
      </c>
      <c r="C75" s="18" t="str">
        <f t="shared" si="4"/>
        <v/>
      </c>
      <c r="D75" s="18" t="str">
        <f t="shared" si="4"/>
        <v/>
      </c>
      <c r="E75" s="18" t="str">
        <f t="shared" si="4"/>
        <v/>
      </c>
      <c r="F75" s="18" t="str">
        <f t="shared" si="4"/>
        <v/>
      </c>
      <c r="G75" s="18" t="str">
        <f t="shared" si="4"/>
        <v/>
      </c>
      <c r="H75" s="19" t="str">
        <f t="shared" si="4"/>
        <v/>
      </c>
      <c r="J75" s="24">
        <f t="shared" si="5"/>
        <v>0.9</v>
      </c>
    </row>
    <row r="76" spans="1:10" ht="26" x14ac:dyDescent="0.35">
      <c r="A76" s="31" t="s">
        <v>34</v>
      </c>
      <c r="B76" s="18" t="str">
        <f t="shared" si="4"/>
        <v/>
      </c>
      <c r="C76" s="18" t="str">
        <f t="shared" si="4"/>
        <v>X</v>
      </c>
      <c r="D76" s="18" t="str">
        <f t="shared" si="4"/>
        <v/>
      </c>
      <c r="E76" s="18" t="str">
        <f t="shared" si="4"/>
        <v/>
      </c>
      <c r="F76" s="18" t="str">
        <f t="shared" si="4"/>
        <v/>
      </c>
      <c r="G76" s="18" t="str">
        <f t="shared" si="4"/>
        <v/>
      </c>
      <c r="H76" s="19" t="str">
        <f t="shared" si="4"/>
        <v/>
      </c>
      <c r="J76" s="24">
        <f t="shared" si="5"/>
        <v>0.8</v>
      </c>
    </row>
    <row r="77" spans="1:10" x14ac:dyDescent="0.35">
      <c r="A77" s="31" t="s">
        <v>35</v>
      </c>
      <c r="B77" s="18" t="str">
        <f t="shared" si="4"/>
        <v/>
      </c>
      <c r="C77" s="18" t="str">
        <f t="shared" si="4"/>
        <v>X</v>
      </c>
      <c r="D77" s="18" t="str">
        <f t="shared" si="4"/>
        <v/>
      </c>
      <c r="E77" s="18" t="str">
        <f t="shared" si="4"/>
        <v/>
      </c>
      <c r="F77" s="18" t="str">
        <f t="shared" si="4"/>
        <v/>
      </c>
      <c r="G77" s="18" t="str">
        <f t="shared" si="4"/>
        <v/>
      </c>
      <c r="H77" s="19" t="str">
        <f t="shared" si="4"/>
        <v/>
      </c>
      <c r="J77" s="24">
        <f t="shared" si="5"/>
        <v>0.8</v>
      </c>
    </row>
    <row r="78" spans="1:10" x14ac:dyDescent="0.35">
      <c r="A78" s="31" t="s">
        <v>36</v>
      </c>
      <c r="B78" s="18" t="str">
        <f t="shared" si="4"/>
        <v/>
      </c>
      <c r="C78" s="18" t="str">
        <f t="shared" si="4"/>
        <v/>
      </c>
      <c r="D78" s="18" t="str">
        <f t="shared" si="4"/>
        <v/>
      </c>
      <c r="E78" s="18" t="str">
        <f t="shared" si="4"/>
        <v/>
      </c>
      <c r="F78" s="18" t="str">
        <f t="shared" si="4"/>
        <v/>
      </c>
      <c r="G78" s="18" t="str">
        <f t="shared" si="4"/>
        <v/>
      </c>
      <c r="H78" s="19" t="str">
        <f t="shared" si="4"/>
        <v>X</v>
      </c>
      <c r="J78" s="24">
        <f t="shared" si="5"/>
        <v>0</v>
      </c>
    </row>
    <row r="79" spans="1:10" x14ac:dyDescent="0.35">
      <c r="A79" s="31" t="s">
        <v>37</v>
      </c>
      <c r="B79" s="18" t="str">
        <f t="shared" si="4"/>
        <v/>
      </c>
      <c r="C79" s="18" t="str">
        <f t="shared" si="4"/>
        <v>X</v>
      </c>
      <c r="D79" s="18" t="str">
        <f t="shared" si="4"/>
        <v/>
      </c>
      <c r="E79" s="18" t="str">
        <f t="shared" si="4"/>
        <v/>
      </c>
      <c r="F79" s="18" t="str">
        <f t="shared" si="4"/>
        <v/>
      </c>
      <c r="G79" s="18" t="str">
        <f t="shared" si="4"/>
        <v/>
      </c>
      <c r="H79" s="19" t="str">
        <f t="shared" si="4"/>
        <v/>
      </c>
      <c r="J79" s="24">
        <f t="shared" si="5"/>
        <v>0.6</v>
      </c>
    </row>
    <row r="80" spans="1:10" ht="39.5" thickBot="1" x14ac:dyDescent="0.4">
      <c r="A80" s="32" t="s">
        <v>38</v>
      </c>
      <c r="B80" s="20" t="str">
        <f t="shared" si="4"/>
        <v/>
      </c>
      <c r="C80" s="20" t="str">
        <f t="shared" si="4"/>
        <v/>
      </c>
      <c r="D80" s="20" t="str">
        <f t="shared" si="4"/>
        <v/>
      </c>
      <c r="E80" s="20" t="str">
        <f t="shared" si="4"/>
        <v/>
      </c>
      <c r="F80" s="20" t="str">
        <f t="shared" si="4"/>
        <v>X</v>
      </c>
      <c r="G80" s="20" t="str">
        <f t="shared" si="4"/>
        <v/>
      </c>
      <c r="H80" s="21" t="str">
        <f t="shared" si="4"/>
        <v/>
      </c>
      <c r="J80" s="24">
        <f t="shared" si="5"/>
        <v>0.4</v>
      </c>
    </row>
    <row r="81" spans="1:10" ht="29.5" thickBot="1" x14ac:dyDescent="0.4">
      <c r="A81" s="27" t="s">
        <v>72</v>
      </c>
      <c r="B81" s="28"/>
      <c r="C81" s="28"/>
      <c r="D81" s="28"/>
      <c r="E81" s="28"/>
      <c r="F81" s="28"/>
      <c r="G81" s="28"/>
      <c r="H81" s="29"/>
      <c r="J81" s="25"/>
    </row>
    <row r="82" spans="1:10" x14ac:dyDescent="0.35">
      <c r="A82" s="33" t="s">
        <v>39</v>
      </c>
      <c r="B82" s="16" t="str">
        <f t="shared" ref="B82:H84" si="6">IF(AND($J82&gt;=B$87,$J82&lt;B$88),"X","")</f>
        <v>X</v>
      </c>
      <c r="C82" s="16" t="str">
        <f t="shared" si="6"/>
        <v/>
      </c>
      <c r="D82" s="16" t="str">
        <f t="shared" si="6"/>
        <v/>
      </c>
      <c r="E82" s="16" t="str">
        <f t="shared" si="6"/>
        <v/>
      </c>
      <c r="F82" s="16" t="str">
        <f t="shared" si="6"/>
        <v/>
      </c>
      <c r="G82" s="16" t="str">
        <f t="shared" si="6"/>
        <v/>
      </c>
      <c r="H82" s="17" t="str">
        <f t="shared" si="6"/>
        <v/>
      </c>
      <c r="J82" s="24">
        <f>D35/E35</f>
        <v>0.92</v>
      </c>
    </row>
    <row r="83" spans="1:10" x14ac:dyDescent="0.35">
      <c r="A83" s="31" t="s">
        <v>44</v>
      </c>
      <c r="B83" s="18" t="str">
        <f t="shared" si="6"/>
        <v/>
      </c>
      <c r="C83" s="18" t="str">
        <f t="shared" si="6"/>
        <v>X</v>
      </c>
      <c r="D83" s="18" t="str">
        <f t="shared" si="6"/>
        <v/>
      </c>
      <c r="E83" s="18" t="str">
        <f t="shared" si="6"/>
        <v/>
      </c>
      <c r="F83" s="18" t="str">
        <f t="shared" si="6"/>
        <v/>
      </c>
      <c r="G83" s="18" t="str">
        <f t="shared" si="6"/>
        <v/>
      </c>
      <c r="H83" s="19" t="str">
        <f t="shared" si="6"/>
        <v/>
      </c>
      <c r="J83" s="24">
        <f>D41/E41</f>
        <v>0.8</v>
      </c>
    </row>
    <row r="84" spans="1:10" ht="15" thickBot="1" x14ac:dyDescent="0.4">
      <c r="A84" s="34" t="s">
        <v>54</v>
      </c>
      <c r="B84" s="22" t="str">
        <f t="shared" si="6"/>
        <v>X</v>
      </c>
      <c r="C84" s="22" t="str">
        <f t="shared" si="6"/>
        <v/>
      </c>
      <c r="D84" s="22" t="str">
        <f t="shared" si="6"/>
        <v/>
      </c>
      <c r="E84" s="22" t="str">
        <f t="shared" si="6"/>
        <v/>
      </c>
      <c r="F84" s="22" t="str">
        <f t="shared" si="6"/>
        <v/>
      </c>
      <c r="G84" s="22" t="str">
        <f t="shared" si="6"/>
        <v/>
      </c>
      <c r="H84" s="23" t="str">
        <f t="shared" si="6"/>
        <v/>
      </c>
      <c r="J84" s="24">
        <f>D53/E53</f>
        <v>1</v>
      </c>
    </row>
    <row r="87" spans="1:10" x14ac:dyDescent="0.35">
      <c r="B87">
        <v>0.85</v>
      </c>
      <c r="C87">
        <v>0.6</v>
      </c>
      <c r="D87">
        <v>0.59</v>
      </c>
      <c r="E87">
        <v>0.49</v>
      </c>
      <c r="F87">
        <v>0.39</v>
      </c>
      <c r="G87">
        <v>0.19</v>
      </c>
      <c r="H87">
        <v>0</v>
      </c>
    </row>
    <row r="88" spans="1:10" x14ac:dyDescent="0.35">
      <c r="B88">
        <v>1.01</v>
      </c>
      <c r="C88">
        <f>B87</f>
        <v>0.85</v>
      </c>
      <c r="D88">
        <f t="shared" ref="D88:H88" si="7">C87</f>
        <v>0.6</v>
      </c>
      <c r="E88">
        <f t="shared" si="7"/>
        <v>0.59</v>
      </c>
      <c r="F88">
        <f t="shared" si="7"/>
        <v>0.49</v>
      </c>
      <c r="G88">
        <f t="shared" si="7"/>
        <v>0.39</v>
      </c>
      <c r="H88">
        <f t="shared" si="7"/>
        <v>0.19</v>
      </c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Full</vt:lpstr>
      <vt:lpstr>chart</vt:lpstr>
      <vt:lpstr>class_list</vt:lpstr>
      <vt:lpstr>template_student</vt:lpstr>
      <vt:lpstr>Student1</vt:lpstr>
      <vt:lpstr>Student2</vt:lpstr>
      <vt:lpstr>Student3</vt:lpstr>
      <vt:lpstr>Student4</vt:lpstr>
      <vt:lpstr>Student5</vt:lpstr>
      <vt:lpstr>Student6</vt:lpstr>
      <vt:lpstr>template_student!Print_Area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Guest</dc:creator>
  <dc:description/>
  <cp:lastModifiedBy>Andrew Guest</cp:lastModifiedBy>
  <cp:revision>57</cp:revision>
  <cp:lastPrinted>2022-09-01T08:23:47Z</cp:lastPrinted>
  <dcterms:created xsi:type="dcterms:W3CDTF">2020-01-13T11:20:23Z</dcterms:created>
  <dcterms:modified xsi:type="dcterms:W3CDTF">2022-09-01T08:23:53Z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0x0101003E959D8026B75B46A2C912B976504996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